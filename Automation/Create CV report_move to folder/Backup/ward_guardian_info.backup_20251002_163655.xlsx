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Sync\Guardianship Files\data files\"/>
    </mc:Choice>
  </mc:AlternateContent>
  <xr:revisionPtr revIDLastSave="0" documentId="13_ncr:1_{3A8EF4BB-97A8-47A8-96AF-A1B79C4D022E}" xr6:coauthVersionLast="47" xr6:coauthVersionMax="47" xr10:uidLastSave="{00000000-0000-0000-0000-000000000000}"/>
  <bookViews>
    <workbookView xWindow="60720" yWindow="10575" windowWidth="25125" windowHeight="113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heck1" localSheetId="0">Sheet1!$W$231</definedName>
    <definedName name="Check2" localSheetId="0">Sheet1!$W$19</definedName>
    <definedName name="Check4" localSheetId="0">Sheet1!$X$32</definedName>
    <definedName name="Check6" localSheetId="0">Sheet1!$X$38</definedName>
    <definedName name="Text10" localSheetId="0">Sheet1!$W$41</definedName>
    <definedName name="Text11" localSheetId="0">Sheet1!$W$51</definedName>
    <definedName name="Text12" localSheetId="0">Sheet1!$W$69</definedName>
    <definedName name="Text13" localSheetId="0">Sheet1!$W$87</definedName>
    <definedName name="Text14" localSheetId="0">Sheet1!$X$106</definedName>
    <definedName name="Text21" localSheetId="0">Sheet1!$W$120</definedName>
    <definedName name="Text24" localSheetId="0">Sheet1!$W$125</definedName>
    <definedName name="Text25" localSheetId="0">Sheet1!$W$134</definedName>
    <definedName name="Text26" localSheetId="0">Sheet1!$W$142</definedName>
    <definedName name="Text27" localSheetId="0">Sheet1!$W$158</definedName>
    <definedName name="Text28" localSheetId="0">Sheet1!$W$160</definedName>
    <definedName name="Text29" localSheetId="0">Sheet1!$W$162</definedName>
    <definedName name="Text30" localSheetId="0">Sheet1!$W$196</definedName>
    <definedName name="Text33" localSheetId="0">Sheet1!$W$153</definedName>
    <definedName name="Text34" localSheetId="0">Sheet1!$W$17</definedName>
    <definedName name="Text35" localSheetId="0">Sheet1!$W$27</definedName>
    <definedName name="Text36" localSheetId="0">Sheet1!$W$28</definedName>
    <definedName name="Text37" localSheetId="0">Sheet1!$W$42</definedName>
    <definedName name="Text38" localSheetId="0">Sheet1!$W$43</definedName>
    <definedName name="Text39" localSheetId="0">Sheet1!$W$51</definedName>
    <definedName name="Text40" localSheetId="0">Sheet1!$W$52</definedName>
    <definedName name="Text41" localSheetId="0">Sheet1!$W$53</definedName>
    <definedName name="Text42" localSheetId="0">Sheet1!$W$70</definedName>
    <definedName name="Text43" localSheetId="0">Sheet1!$W$71</definedName>
    <definedName name="Text45" localSheetId="0">Sheet1!$W$122</definedName>
    <definedName name="Text50" localSheetId="0">Sheet1!$W$121</definedName>
    <definedName name="Text54" localSheetId="0">Sheet1!$W$14</definedName>
    <definedName name="Text55" localSheetId="0">Sheet1!$W$114</definedName>
    <definedName name="Text56" localSheetId="0">Sheet1!$W$116</definedName>
    <definedName name="Text57" localSheetId="0">Sheet1!$W$1</definedName>
    <definedName name="Text58" localSheetId="0">Sheet1!$W$5</definedName>
    <definedName name="Text59" localSheetId="0">Sheet1!$W$13</definedName>
    <definedName name="Text8" localSheetId="0">Sheet1!$W$27</definedName>
    <definedName name="Text9" localSheetId="0">Sheet1!$W$40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I21" i="2"/>
  <c r="D21" i="2"/>
  <c r="C21" i="2"/>
  <c r="B21" i="2"/>
  <c r="A21" i="2"/>
  <c r="I28" i="2"/>
  <c r="I29" i="2"/>
  <c r="I30" i="2"/>
  <c r="I31" i="2"/>
  <c r="I32" i="2"/>
  <c r="I33" i="2"/>
  <c r="I34" i="2"/>
  <c r="I35" i="2"/>
  <c r="I36" i="2"/>
  <c r="I37" i="2"/>
  <c r="B20" i="2"/>
  <c r="B13" i="2"/>
  <c r="J3" i="2"/>
  <c r="G3" i="2" s="1"/>
  <c r="J4" i="2"/>
  <c r="G4" i="2" s="1"/>
  <c r="J5" i="2"/>
  <c r="G5" i="2" s="1"/>
  <c r="J6" i="2"/>
  <c r="G6" i="2" s="1"/>
  <c r="J7" i="2"/>
  <c r="G7" i="2" s="1"/>
  <c r="J8" i="2"/>
  <c r="G8" i="2" s="1"/>
  <c r="J9" i="2"/>
  <c r="G9" i="2" s="1"/>
  <c r="J10" i="2"/>
  <c r="G10" i="2" s="1"/>
  <c r="J11" i="2"/>
  <c r="G11" i="2" s="1"/>
  <c r="J12" i="2"/>
  <c r="G12" i="2" s="1"/>
  <c r="J13" i="2"/>
  <c r="G13" i="2" s="1"/>
  <c r="J14" i="2"/>
  <c r="G14" i="2" s="1"/>
  <c r="J15" i="2"/>
  <c r="G15" i="2" s="1"/>
  <c r="J16" i="2"/>
  <c r="G16" i="2" s="1"/>
  <c r="J17" i="2"/>
  <c r="G17" i="2" s="1"/>
  <c r="J18" i="2"/>
  <c r="J19" i="2"/>
  <c r="G19" i="2" s="1"/>
  <c r="J20" i="2"/>
  <c r="G20" i="2" s="1"/>
  <c r="J22" i="2"/>
  <c r="G22" i="2" s="1"/>
  <c r="J23" i="2"/>
  <c r="G23" i="2" s="1"/>
  <c r="J24" i="2"/>
  <c r="G24" i="2" s="1"/>
  <c r="J25" i="2"/>
  <c r="G25" i="2" s="1"/>
  <c r="J26" i="2"/>
  <c r="G26" i="2" s="1"/>
  <c r="J27" i="2"/>
  <c r="G27" i="2" s="1"/>
  <c r="J28" i="2"/>
  <c r="G28" i="2" s="1"/>
  <c r="J29" i="2"/>
  <c r="G29" i="2" s="1"/>
  <c r="J30" i="2"/>
  <c r="G30" i="2" s="1"/>
  <c r="J31" i="2"/>
  <c r="G31" i="2" s="1"/>
  <c r="J32" i="2"/>
  <c r="G32" i="2" s="1"/>
  <c r="J33" i="2"/>
  <c r="G33" i="2" s="1"/>
  <c r="J34" i="2"/>
  <c r="G34" i="2" s="1"/>
  <c r="J35" i="2"/>
  <c r="G35" i="2" s="1"/>
  <c r="J36" i="2"/>
  <c r="G36" i="2" s="1"/>
  <c r="J37" i="2"/>
  <c r="G37" i="2" s="1"/>
  <c r="J38" i="2"/>
  <c r="G38" i="2" s="1"/>
  <c r="J39" i="2"/>
  <c r="G39" i="2" s="1"/>
  <c r="J40" i="2"/>
  <c r="G40" i="2" s="1"/>
  <c r="J41" i="2"/>
  <c r="G41" i="2" s="1"/>
  <c r="J42" i="2"/>
  <c r="G42" i="2" s="1"/>
  <c r="J43" i="2"/>
  <c r="G43" i="2" s="1"/>
  <c r="J44" i="2"/>
  <c r="G44" i="2" s="1"/>
  <c r="J45" i="2"/>
  <c r="G45" i="2" s="1"/>
  <c r="J46" i="2"/>
  <c r="G46" i="2" s="1"/>
  <c r="J47" i="2"/>
  <c r="G47" i="2" s="1"/>
  <c r="J48" i="2"/>
  <c r="G48" i="2" s="1"/>
  <c r="J49" i="2"/>
  <c r="G49" i="2" s="1"/>
  <c r="J50" i="2"/>
  <c r="G50" i="2" s="1"/>
  <c r="J51" i="2"/>
  <c r="G51" i="2" s="1"/>
  <c r="J52" i="2"/>
  <c r="G52" i="2" s="1"/>
  <c r="J53" i="2"/>
  <c r="G53" i="2" s="1"/>
  <c r="J54" i="2"/>
  <c r="G54" i="2" s="1"/>
  <c r="J55" i="2"/>
  <c r="G55" i="2" s="1"/>
  <c r="J56" i="2"/>
  <c r="G56" i="2" s="1"/>
  <c r="J57" i="2"/>
  <c r="G57" i="2" s="1"/>
  <c r="J58" i="2"/>
  <c r="G58" i="2" s="1"/>
  <c r="J59" i="2"/>
  <c r="G59" i="2" s="1"/>
  <c r="J60" i="2"/>
  <c r="G60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G18" i="2" s="1"/>
  <c r="I19" i="2"/>
  <c r="I20" i="2"/>
  <c r="I22" i="2"/>
  <c r="I23" i="2"/>
  <c r="I24" i="2"/>
  <c r="I25" i="2"/>
  <c r="I26" i="2"/>
  <c r="I2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J2" i="2"/>
  <c r="G2" i="2" s="1"/>
  <c r="I2" i="2"/>
  <c r="B7" i="2"/>
  <c r="B8" i="2"/>
  <c r="B9" i="2"/>
  <c r="B10" i="2"/>
  <c r="B11" i="2"/>
  <c r="B12" i="2"/>
  <c r="B14" i="2"/>
  <c r="B15" i="2"/>
  <c r="B16" i="2"/>
  <c r="B17" i="2"/>
  <c r="B18" i="2"/>
  <c r="B19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7" i="2"/>
  <c r="D18" i="2"/>
  <c r="D20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3" i="2"/>
  <c r="B4" i="2"/>
  <c r="B5" i="2"/>
  <c r="B6" i="2"/>
  <c r="C2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2" i="2"/>
</calcChain>
</file>

<file path=xl/sharedStrings.xml><?xml version="1.0" encoding="utf-8"?>
<sst xmlns="http://schemas.openxmlformats.org/spreadsheetml/2006/main" count="520" uniqueCount="377">
  <si>
    <t>Relationship</t>
  </si>
  <si>
    <t>21-001411</t>
  </si>
  <si>
    <t>512-514-4444</t>
  </si>
  <si>
    <t>412 Cargill Dr., Spicewood, TX 78699</t>
  </si>
  <si>
    <t>Wagner, Todd and Sara</t>
  </si>
  <si>
    <t xml:space="preserve">320-808-9453  </t>
  </si>
  <si>
    <t>txgirl14boys@gmail.com</t>
  </si>
  <si>
    <t>17-000729</t>
  </si>
  <si>
    <t>512-202-9638</t>
  </si>
  <si>
    <t>Joe and Lisa Dennis</t>
  </si>
  <si>
    <t>11508 Shoreview Overlook, Austin, TX 78732</t>
  </si>
  <si>
    <t>ljdenis214@gmail.com</t>
  </si>
  <si>
    <t>512-808-8823   512-808-8821</t>
  </si>
  <si>
    <t>7/5/1971  2/14/1972</t>
  </si>
  <si>
    <t>9/28/1973   5/01/1976</t>
  </si>
  <si>
    <t>22-001301</t>
  </si>
  <si>
    <t>612-387-1813</t>
  </si>
  <si>
    <t>Halford, Jonnie and Amy</t>
  </si>
  <si>
    <t>1700 Amis Ave, Austin, TX 78734</t>
  </si>
  <si>
    <t>amyhalford710@gmail.com</t>
  </si>
  <si>
    <t>Father/Mother</t>
  </si>
  <si>
    <t>12/17/1976  9/30/1976</t>
  </si>
  <si>
    <t xml:space="preserve">Lives in gated community,  apppears happy nd says he is happy. Active in sports, work and walks dog. </t>
  </si>
  <si>
    <t>22-002249</t>
  </si>
  <si>
    <t>Barton Valley Rehab &amp; HC 4501 Dudmar Dr., Austin, TX 78735</t>
  </si>
  <si>
    <t>1/03/1959q</t>
  </si>
  <si>
    <t>Mir Senior Care &amp; Care Consultants</t>
  </si>
  <si>
    <t>3410 Far West Blvd, Suite 120, Austin TX</t>
  </si>
  <si>
    <t>lina@mircareconsultants.com</t>
  </si>
  <si>
    <t>Professional Guardian</t>
  </si>
  <si>
    <t>Kristin Martinelli,was case manager for long time 512.694.7448 Now Emmy Ledbetter 512.234.5515</t>
  </si>
  <si>
    <t>16-000206</t>
  </si>
  <si>
    <t>503-853-2788</t>
  </si>
  <si>
    <t>4509 Tambre Bnd, Austin, TX 78738</t>
  </si>
  <si>
    <t>9/9//98</t>
  </si>
  <si>
    <t>Val Mayerick Tatiana Mayerik</t>
  </si>
  <si>
    <t>valmayerik@gmail.com</t>
  </si>
  <si>
    <t>971-506-8665 503-853-2788</t>
  </si>
  <si>
    <t>3/29/1950  8/20/1960</t>
  </si>
  <si>
    <t>14-002049</t>
  </si>
  <si>
    <t>Kimberly Ellison De Jong</t>
  </si>
  <si>
    <t>15905 Chateau Ave, Austin, Texas 78734</t>
  </si>
  <si>
    <t>240-418-2233</t>
  </si>
  <si>
    <t>Mother</t>
  </si>
  <si>
    <t>06-084450</t>
  </si>
  <si>
    <t>512-925-9215</t>
  </si>
  <si>
    <t>Eudy Kimberly H</t>
  </si>
  <si>
    <t>121 Lido street, Austin, TX 78734</t>
  </si>
  <si>
    <t>512-940-2545</t>
  </si>
  <si>
    <t>20-001710</t>
  </si>
  <si>
    <t>512-565-3313</t>
  </si>
  <si>
    <t>303 Bellagio Dr, Austin, TX 78734</t>
  </si>
  <si>
    <t>Jones, Andrew P.</t>
  </si>
  <si>
    <t>apjon1@yahoo.com</t>
  </si>
  <si>
    <t>832-3167953</t>
  </si>
  <si>
    <t xml:space="preserve">Father </t>
  </si>
  <si>
    <t>18-001798</t>
  </si>
  <si>
    <t>512-815-8640</t>
  </si>
  <si>
    <t>Park, Randal Michael</t>
  </si>
  <si>
    <t>1306 Fernglade Lane, Cedar Park, TX 78613</t>
  </si>
  <si>
    <t>randalpark@yahoo.com</t>
  </si>
  <si>
    <t>512-848-3024</t>
  </si>
  <si>
    <t>Son</t>
  </si>
  <si>
    <t>19-000060</t>
  </si>
  <si>
    <t>512-762-5949</t>
  </si>
  <si>
    <t>4300 Hennig Dr, Austin, TX 78738</t>
  </si>
  <si>
    <t>Thomas, Brad and Courtney</t>
  </si>
  <si>
    <t>4300 Hennig Drive, Austin, TX 78738</t>
  </si>
  <si>
    <t>courtneythomasou91@gmail.com</t>
  </si>
  <si>
    <t>7/28/1969  10/13/1968</t>
  </si>
  <si>
    <t>braden ca</t>
  </si>
  <si>
    <t>wardlast</t>
  </si>
  <si>
    <t>causeno</t>
  </si>
  <si>
    <t>visitdate</t>
  </si>
  <si>
    <t>visittime</t>
  </si>
  <si>
    <t>wtele</t>
  </si>
  <si>
    <t>waddress</t>
  </si>
  <si>
    <t>wdob</t>
  </si>
  <si>
    <t>guardian1</t>
  </si>
  <si>
    <t>gaddress</t>
  </si>
  <si>
    <t>gemail</t>
  </si>
  <si>
    <t>gtele</t>
  </si>
  <si>
    <t>gdob</t>
  </si>
  <si>
    <t>miles</t>
  </si>
  <si>
    <t>Wagner</t>
  </si>
  <si>
    <t>Dennis</t>
  </si>
  <si>
    <t>Halford</t>
  </si>
  <si>
    <t>Braden</t>
  </si>
  <si>
    <t>Eudy</t>
  </si>
  <si>
    <t>Jones</t>
  </si>
  <si>
    <t>Park</t>
  </si>
  <si>
    <t>Bennett</t>
  </si>
  <si>
    <t>Conner</t>
  </si>
  <si>
    <t xml:space="preserve"> Luke Thomas</t>
  </si>
  <si>
    <t>Mina</t>
  </si>
  <si>
    <t>Andrew Colton</t>
  </si>
  <si>
    <t>Kimberly Grace</t>
  </si>
  <si>
    <t xml:space="preserve"> Julian Mayerik</t>
  </si>
  <si>
    <t xml:space="preserve"> Daniel</t>
  </si>
  <si>
    <t xml:space="preserve"> Jon Tyler</t>
  </si>
  <si>
    <t>Abigail</t>
  </si>
  <si>
    <t xml:space="preserve"> John Carter</t>
  </si>
  <si>
    <t>liveswith</t>
  </si>
  <si>
    <t>parents</t>
  </si>
  <si>
    <t>nursing home</t>
  </si>
  <si>
    <t>apartment</t>
  </si>
  <si>
    <t>assisted living</t>
  </si>
  <si>
    <t>mother</t>
  </si>
  <si>
    <t xml:space="preserve">412 Cargill Dr., Spicewood, TX 78699    </t>
  </si>
  <si>
    <t xml:space="preserve">11508 Shoreview Overlook, Austin, TX </t>
  </si>
  <si>
    <t xml:space="preserve">15905 Chateau Ave, Austin, TX </t>
  </si>
  <si>
    <t>Dateappointed</t>
  </si>
  <si>
    <t>wardfirst</t>
  </si>
  <si>
    <t>dateappointed</t>
  </si>
  <si>
    <t>datesubmitted</t>
  </si>
  <si>
    <t>directions</t>
  </si>
  <si>
    <t>name</t>
  </si>
  <si>
    <t>Lives in Belmont Village AL, 95 yr old potential need to move to memory care</t>
  </si>
  <si>
    <t>Avanti Hills at the Galleria 12601 Bee Cave Parkway, Apt 243
Bee Cave TX 78738</t>
  </si>
  <si>
    <t>Avanti Hills at the Galleria   12601 Bee Cave Parkway, Apt 2-225 BeeCave, TX 78738</t>
  </si>
  <si>
    <t>Davidson</t>
  </si>
  <si>
    <t>Anthony Michael</t>
  </si>
  <si>
    <t>15-002046</t>
  </si>
  <si>
    <t>512-826-1260</t>
  </si>
  <si>
    <t>6008 Gunnison Turn Rd, Austin, TX 78738</t>
  </si>
  <si>
    <t xml:space="preserve">512-317-4727  </t>
  </si>
  <si>
    <t>6009 Gunnison Turn Rd, Austin, TX 78738</t>
  </si>
  <si>
    <t>Davidson, Daniel</t>
  </si>
  <si>
    <t>Davidson, Marcela</t>
  </si>
  <si>
    <t>Father</t>
  </si>
  <si>
    <t>12-000189</t>
  </si>
  <si>
    <t>Dodson</t>
  </si>
  <si>
    <t>Michael Todd</t>
  </si>
  <si>
    <t>512-435-7969</t>
  </si>
  <si>
    <t>900 Elder Circle, Austin, TX 78733</t>
  </si>
  <si>
    <t>Mooring, Elisa Berkman</t>
  </si>
  <si>
    <t>lismooring@aol.com</t>
  </si>
  <si>
    <t>Hall</t>
  </si>
  <si>
    <t>Alexandra</t>
  </si>
  <si>
    <t>08-088136</t>
  </si>
  <si>
    <t>2 Prestonwood Circle, Lakewy, TX 78737</t>
  </si>
  <si>
    <t>Hall Kari</t>
  </si>
  <si>
    <t>Hall, Derek</t>
  </si>
  <si>
    <t>3 Prestonwood Circle, Lakewy, TX 78737</t>
  </si>
  <si>
    <t>512-560-4256</t>
  </si>
  <si>
    <t>Jain</t>
  </si>
  <si>
    <t>Ryan</t>
  </si>
  <si>
    <t>24-001242</t>
  </si>
  <si>
    <t>105 Bel Lago Cove, Austin, TX 78734</t>
  </si>
  <si>
    <t>Jain Meenu</t>
  </si>
  <si>
    <t>Jain, Ankur</t>
  </si>
  <si>
    <t>meenu.jain@gmail.com</t>
  </si>
  <si>
    <t>512-786-3084</t>
  </si>
  <si>
    <t>09-000016</t>
  </si>
  <si>
    <t>Loy</t>
  </si>
  <si>
    <t>Mary K.</t>
  </si>
  <si>
    <t>512-743-7711</t>
  </si>
  <si>
    <t>208 Darwins Way, Lakeway, TX, 78734</t>
  </si>
  <si>
    <t>209 Darwins Way, Lakeway, TX, 78734</t>
  </si>
  <si>
    <t>melyssaloy@mac.com</t>
  </si>
  <si>
    <t>Taylor</t>
  </si>
  <si>
    <t>Ryan Matthew</t>
  </si>
  <si>
    <t>22-000706</t>
  </si>
  <si>
    <t>512-791-7251</t>
  </si>
  <si>
    <t>6416 Llano Stage Trl, Austin, TX 78738</t>
  </si>
  <si>
    <t>Taylor Brian</t>
  </si>
  <si>
    <t>Taylor, Nicole</t>
  </si>
  <si>
    <t>nktaylor76@gmail.com</t>
  </si>
  <si>
    <t>512-415-7754</t>
  </si>
  <si>
    <t>Turnbaugh</t>
  </si>
  <si>
    <t>Elizabeth</t>
  </si>
  <si>
    <t>00-074302</t>
  </si>
  <si>
    <t>Turnbaugh, Jill</t>
  </si>
  <si>
    <t>22 Hedgebrook Way, Austin, TX 78738</t>
  </si>
  <si>
    <t>Turnbaugh, Dean</t>
  </si>
  <si>
    <t>23-000357</t>
  </si>
  <si>
    <t>Warren</t>
  </si>
  <si>
    <t>David Patrick</t>
  </si>
  <si>
    <t>13213 Country Lake Drive, Austin, TX 78732</t>
  </si>
  <si>
    <t>Warren, Phillip Bowman</t>
  </si>
  <si>
    <t>Warren, Julie Powell</t>
  </si>
  <si>
    <t>juliepowellwarren@gmail.com</t>
  </si>
  <si>
    <t>512-963-6504</t>
  </si>
  <si>
    <t>512-461-3015</t>
  </si>
  <si>
    <t>Loy, Charles E.</t>
  </si>
  <si>
    <t>Loy, Melyssa</t>
  </si>
  <si>
    <t xml:space="preserve"> </t>
  </si>
  <si>
    <t>512-743-1845</t>
  </si>
  <si>
    <t>512-743-1849</t>
  </si>
  <si>
    <t>ankur.ankurjain@gmail.com</t>
  </si>
  <si>
    <t>mdavidson7@austin.rr.com</t>
  </si>
  <si>
    <t>marcydavidson531@gmail.com</t>
  </si>
  <si>
    <t>danieldavidson879@gmail.com</t>
  </si>
  <si>
    <t>De Jong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</si>
  <si>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</si>
  <si>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Brendan James</t>
  </si>
  <si>
    <t>kedejong@msn.com</t>
  </si>
  <si>
    <t xml:space="preserve">     </t>
  </si>
  <si>
    <t>Luna</t>
  </si>
  <si>
    <t>Oscar</t>
  </si>
  <si>
    <t>05-82942</t>
  </si>
  <si>
    <t>2406 Monarch Dr, Austin, TX 78748</t>
  </si>
  <si>
    <t>Medel, Catalina</t>
  </si>
  <si>
    <t>medelc64@gmail.com</t>
  </si>
  <si>
    <t>512-282-1208</t>
  </si>
  <si>
    <t>Brener</t>
  </si>
  <si>
    <t>Benjamin</t>
  </si>
  <si>
    <t>06-085777</t>
  </si>
  <si>
    <t>Brener, Fay</t>
  </si>
  <si>
    <t>4040 Enclave Mesa Circle, Austin, TX 78731</t>
  </si>
  <si>
    <t>brefaye@hotmail.com</t>
  </si>
  <si>
    <t>512-338-0176</t>
  </si>
  <si>
    <t>Date ARP filed</t>
  </si>
  <si>
    <t>Guardian2</t>
  </si>
  <si>
    <t>g2 address</t>
  </si>
  <si>
    <t>g2eamil</t>
  </si>
  <si>
    <t>g2tele</t>
  </si>
  <si>
    <t>g2Relationship</t>
  </si>
  <si>
    <t>g2dob</t>
  </si>
  <si>
    <t>Brener, Lazaro</t>
  </si>
  <si>
    <t>lazarbre@hotmail.com</t>
  </si>
  <si>
    <t>father</t>
  </si>
  <si>
    <t>Potter</t>
  </si>
  <si>
    <t>Mark</t>
  </si>
  <si>
    <t>09-001594</t>
  </si>
  <si>
    <t>512-789-4079</t>
  </si>
  <si>
    <t>2517 McGregor Lane, Austin, TX 78745</t>
  </si>
  <si>
    <t>Family Eldercare, Inc. Chrisi Johnson, Care Manager</t>
  </si>
  <si>
    <t>cjohnson@familyeldercare.org</t>
  </si>
  <si>
    <t>1700 Rutherford Ln, Austin, TX 78754</t>
  </si>
  <si>
    <t>512-628-1693</t>
  </si>
  <si>
    <t>Mark I Residential Services Group Home</t>
  </si>
  <si>
    <t>14-000172</t>
  </si>
  <si>
    <t>Reich</t>
  </si>
  <si>
    <t>Quinn</t>
  </si>
  <si>
    <t>512-517-5680</t>
  </si>
  <si>
    <t>6008 Rutledge Ln, Austin, TX 78745</t>
  </si>
  <si>
    <t>own home</t>
  </si>
  <si>
    <t>LeBoeuf</t>
  </si>
  <si>
    <t>5120 Concho Creek Bend, Austin, TX 78735</t>
  </si>
  <si>
    <t>lleboeuf0807@gmail.com</t>
  </si>
  <si>
    <t>parent</t>
  </si>
  <si>
    <t>Reich, Stephanie</t>
  </si>
  <si>
    <t>205 Laurelwood Trail, Austin, TX 78746</t>
  </si>
  <si>
    <t>512-306-7314</t>
  </si>
  <si>
    <t>15-000428</t>
  </si>
  <si>
    <t>Cox</t>
  </si>
  <si>
    <t>Ty</t>
  </si>
  <si>
    <t>512-698-0502</t>
  </si>
  <si>
    <t>mother and father</t>
  </si>
  <si>
    <t>4415 Huffman Drive, Austin, TX 78749</t>
  </si>
  <si>
    <t>Cox, Matthew</t>
  </si>
  <si>
    <t>4415 Hoffman Drive, Austin, TX 78749</t>
  </si>
  <si>
    <t>mattjoncox@gmail.com</t>
  </si>
  <si>
    <t>Cox, Amy</t>
  </si>
  <si>
    <t>4415 Hoffman Dr., Austin, TX 78749</t>
  </si>
  <si>
    <t>amykcox1964@gmail.com</t>
  </si>
  <si>
    <t>17-000201</t>
  </si>
  <si>
    <t>Roberts</t>
  </si>
  <si>
    <t>Jay</t>
  </si>
  <si>
    <t>512-560-2265</t>
  </si>
  <si>
    <t>father/mother</t>
  </si>
  <si>
    <t>6452 Ruxton Ln, Austin, TX 78749</t>
  </si>
  <si>
    <t>Roberts, Jay</t>
  </si>
  <si>
    <t>streboryaj@gmail.com</t>
  </si>
  <si>
    <t>512-417-2350</t>
  </si>
  <si>
    <t>Roberts, Ellen</t>
  </si>
  <si>
    <t>strebornelle@gmail.com</t>
  </si>
  <si>
    <t>18-000194</t>
  </si>
  <si>
    <t>Toney</t>
  </si>
  <si>
    <t>Emma</t>
  </si>
  <si>
    <t>512-585-8505</t>
  </si>
  <si>
    <t>570 Woodland Dr., Driftwood, TX 78619</t>
  </si>
  <si>
    <t>Toney, Derrick</t>
  </si>
  <si>
    <t>datoney2@gmail.com</t>
  </si>
  <si>
    <t>Toney, Sara Jane</t>
  </si>
  <si>
    <t>19-002069</t>
  </si>
  <si>
    <t>Huerta</t>
  </si>
  <si>
    <t>512-497-3944</t>
  </si>
  <si>
    <t>8800 Ravello Pass, Austin, TX 78749</t>
  </si>
  <si>
    <t>Huerta, Julian</t>
  </si>
  <si>
    <t>512-826-1616</t>
  </si>
  <si>
    <t>6207 Old Harbor, Austin, TX 78739</t>
  </si>
  <si>
    <t>Huerta Isabel</t>
  </si>
  <si>
    <t>i.huerta@sammyshouse.com</t>
  </si>
  <si>
    <t>Ximenez</t>
  </si>
  <si>
    <t>Gabriela</t>
  </si>
  <si>
    <t>Jose</t>
  </si>
  <si>
    <t>99-071988</t>
  </si>
  <si>
    <t>512-448-9559</t>
  </si>
  <si>
    <t>2517 McGregor Dr., Austin, TX 78745</t>
  </si>
  <si>
    <t>Family Eldercare Robert Lontkowski, Care Manager</t>
  </si>
  <si>
    <t>rlontkowski@familyeldercare.org</t>
  </si>
  <si>
    <t>512-483-3564</t>
  </si>
  <si>
    <t>Public Guardian</t>
  </si>
  <si>
    <t>2404 Roe hampton Dr., Austin, TX 78745</t>
  </si>
  <si>
    <t>Comments</t>
  </si>
  <si>
    <t>case manager is Mark Henson mrk1res@swbell.net Jeanette is staff after 4 pm</t>
  </si>
  <si>
    <t>Cannot schedule until October at horseback riding camp</t>
  </si>
  <si>
    <t>107 Bella Montagna Circle, Lakeway, TX</t>
  </si>
  <si>
    <t>2 Prestonwood Circle, Lakeway, TX 78737</t>
  </si>
  <si>
    <t>t</t>
  </si>
  <si>
    <t>expensesubmitted</t>
  </si>
  <si>
    <t>expensepd</t>
  </si>
  <si>
    <t>Wolk</t>
  </si>
  <si>
    <t>James</t>
  </si>
  <si>
    <t>05-082943</t>
  </si>
  <si>
    <t>(512) 914-5464</t>
  </si>
  <si>
    <t>101AcapulcoCourt, Austin. TX 78734</t>
  </si>
  <si>
    <t>01/23/1987</t>
  </si>
  <si>
    <t>If Co-guardians</t>
  </si>
  <si>
    <t>magda.wolk@gmail.com</t>
  </si>
  <si>
    <t>: Mom</t>
  </si>
  <si>
    <t>08/07/1951</t>
  </si>
  <si>
    <t>09/16/2025</t>
  </si>
  <si>
    <t>07/22/2025</t>
  </si>
  <si>
    <t>2025-10-02 10:41:56</t>
  </si>
  <si>
    <t>Abby</t>
  </si>
  <si>
    <t>13-000934</t>
  </si>
  <si>
    <t>(512) 923-6754</t>
  </si>
  <si>
    <t>3204 Oksheer Dr., Austin, TX 78732</t>
  </si>
  <si>
    <t>06/09/1995</t>
  </si>
  <si>
    <t>07/21/2025</t>
  </si>
  <si>
    <t>2025-10-02 10:41:58</t>
  </si>
  <si>
    <t>Cagle</t>
  </si>
  <si>
    <t>Sara</t>
  </si>
  <si>
    <t>19-000694</t>
  </si>
  <si>
    <t>(713) 380-7865</t>
  </si>
  <si>
    <t>9303 Scenic Bluff Dr., Austin, Texas 78733</t>
  </si>
  <si>
    <t>06/21/2001</t>
  </si>
  <si>
    <t>Thomas Patrick Cagle</t>
  </si>
  <si>
    <t>08/16/1965</t>
  </si>
  <si>
    <t>04/15/1965</t>
  </si>
  <si>
    <t>2025-10-02 10:41:59</t>
  </si>
  <si>
    <t>Mason</t>
  </si>
  <si>
    <t>(737) 230-6831</t>
  </si>
  <si>
    <t>12834 Texas Sage Court, Austin, TX</t>
  </si>
  <si>
    <t>03/14/2003</t>
  </si>
  <si>
    <t>JeM0801@gmail.com</t>
  </si>
  <si>
    <t>(512) 771-1695</t>
  </si>
  <si>
    <t>2025-10-02 10:41:17</t>
  </si>
  <si>
    <t>Zarola</t>
  </si>
  <si>
    <t>Aidan</t>
  </si>
  <si>
    <t>22-002744</t>
  </si>
  <si>
    <t>(619) 316-2897</t>
  </si>
  <si>
    <t>104 Largo Cove, Austin/TX/78734</t>
  </si>
  <si>
    <t>08/20/2000</t>
  </si>
  <si>
    <t>Michael Zarola</t>
  </si>
  <si>
    <t>thezarolas@gmail.com</t>
  </si>
  <si>
    <t>Veronica Zarola</t>
  </si>
  <si>
    <t>2025-10-02 10:42:02</t>
  </si>
  <si>
    <t>21-000066</t>
  </si>
  <si>
    <t>Jimmerson</t>
  </si>
  <si>
    <t>Guardian</t>
  </si>
  <si>
    <t>None</t>
  </si>
  <si>
    <t>wardmiddle</t>
  </si>
  <si>
    <t>Marie</t>
  </si>
  <si>
    <t>David</t>
  </si>
  <si>
    <t>101 AcapulcoCourt, Austin. TX 78734</t>
  </si>
  <si>
    <t>Gwendelynn Jimmerson</t>
  </si>
  <si>
    <t>wendyjimmerson@gmail.com</t>
  </si>
  <si>
    <t>512-923-6754</t>
  </si>
  <si>
    <t>Mom</t>
  </si>
  <si>
    <t>James Jimmerson</t>
  </si>
  <si>
    <t>512-914-0943</t>
  </si>
  <si>
    <t>Nicole Cagle</t>
  </si>
  <si>
    <t>tpcaglejr@gmail.com</t>
  </si>
  <si>
    <t>none</t>
  </si>
  <si>
    <t>Mogonye</t>
  </si>
  <si>
    <t>Todd</t>
  </si>
  <si>
    <t>Michael Mogonye</t>
  </si>
  <si>
    <t>(512) 694-6202</t>
  </si>
  <si>
    <t>Joslyne Mogonye</t>
  </si>
  <si>
    <t>Jack</t>
  </si>
  <si>
    <t>Elliott</t>
  </si>
  <si>
    <t>Y</t>
  </si>
  <si>
    <t>CVR created?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</si>
</sst>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00050"/>
      <name val="Calibri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" fillId="0" borderId="0" xfId="1" applyAlignment="1">
      <alignment horizontal="center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 wrapText="1"/>
    </xf>
    <xf numFmtId="14" fontId="0" fillId="2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center" wrapText="1"/>
    </xf>
    <xf numFmtId="0" fontId="1" fillId="2" borderId="0" xfId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14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0" fontId="1" fillId="3" borderId="0" xfId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14" fontId="0" fillId="3" borderId="0" xfId="0" applyNumberFormat="1" applyFill="1" applyAlignment="1">
      <alignment horizontal="left" wrapText="1"/>
    </xf>
    <xf numFmtId="14" fontId="0" fillId="2" borderId="0" xfId="0" applyNumberFormat="1" applyFill="1" applyAlignment="1">
      <alignment horizontal="left" wrapText="1"/>
    </xf>
    <xf numFmtId="14" fontId="2" fillId="3" borderId="0" xfId="0" applyNumberFormat="1" applyFont="1" applyFill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0" fillId="0" borderId="1" xfId="0" applyBorder="1"/>
    <xf numFmtId="14" fontId="0" fillId="0" borderId="1" xfId="0" applyNumberFormat="1" applyBorder="1"/>
    <xf numFmtId="0" fontId="1" fillId="0" borderId="1" xfId="1" applyBorder="1"/>
    <xf numFmtId="164" fontId="0" fillId="0" borderId="0" xfId="0" applyNumberFormat="1"/>
    <xf numFmtId="0" fontId="1" fillId="2" borderId="0" xfId="1" applyFill="1" applyAlignment="1">
      <alignment horizontal="left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left" wrapText="1"/>
    </xf>
    <xf numFmtId="14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1" fillId="5" borderId="0" xfId="1" applyFill="1" applyAlignment="1">
      <alignment horizontal="center" wrapText="1"/>
    </xf>
    <xf numFmtId="0" fontId="1" fillId="5" borderId="0" xfId="1" applyFill="1" applyAlignment="1">
      <alignment horizontal="left" wrapText="1"/>
    </xf>
    <xf numFmtId="14" fontId="0" fillId="5" borderId="0" xfId="0" applyNumberFormat="1" applyFill="1" applyAlignment="1">
      <alignment horizontal="left" wrapText="1"/>
    </xf>
    <xf numFmtId="14" fontId="5" fillId="5" borderId="0" xfId="0" applyNumberFormat="1" applyFont="1" applyFill="1" applyAlignment="1">
      <alignment horizontal="center" wrapText="1"/>
    </xf>
    <xf numFmtId="0" fontId="4" fillId="6" borderId="0" xfId="2" applyFill="1" applyAlignment="1">
      <alignment horizontal="center" wrapText="1"/>
    </xf>
    <xf numFmtId="0" fontId="4" fillId="6" borderId="0" xfId="2" applyFill="1" applyAlignment="1">
      <alignment horizontal="left" wrapText="1"/>
    </xf>
    <xf numFmtId="164" fontId="4" fillId="6" borderId="0" xfId="2" applyNumberFormat="1" applyFill="1" applyAlignment="1">
      <alignment horizontal="center" wrapText="1"/>
    </xf>
    <xf numFmtId="14" fontId="4" fillId="6" borderId="0" xfId="2" applyNumberForma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 wrapText="1"/>
    </xf>
    <xf numFmtId="0" fontId="1" fillId="6" borderId="0" xfId="1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  <xf numFmtId="14" fontId="4" fillId="6" borderId="0" xfId="2" applyNumberFormat="1" applyFill="1" applyAlignment="1">
      <alignment horizontal="left" wrapText="1"/>
    </xf>
    <xf numFmtId="0" fontId="0" fillId="0" borderId="0" xfId="0" applyAlignment="1">
      <alignment vertical="top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4" fillId="6" borderId="0" xfId="2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ndalpark@yahoo.com" TargetMode="External"/><Relationship Id="rId13" Type="http://schemas.openxmlformats.org/officeDocument/2006/relationships/hyperlink" Target="mailto:meenu.jain@gmail.com" TargetMode="External"/><Relationship Id="rId18" Type="http://schemas.openxmlformats.org/officeDocument/2006/relationships/hyperlink" Target="mailto:mdavidson7@austin.rr.com" TargetMode="External"/><Relationship Id="rId26" Type="http://schemas.openxmlformats.org/officeDocument/2006/relationships/hyperlink" Target="mailto:mattjoncox@gmail.com" TargetMode="External"/><Relationship Id="rId3" Type="http://schemas.openxmlformats.org/officeDocument/2006/relationships/hyperlink" Target="mailto:amyhalford710@gmail.com" TargetMode="External"/><Relationship Id="rId21" Type="http://schemas.openxmlformats.org/officeDocument/2006/relationships/hyperlink" Target="mailto:medelc64@gmail.com" TargetMode="External"/><Relationship Id="rId34" Type="http://schemas.openxmlformats.org/officeDocument/2006/relationships/hyperlink" Target="mailto:tpcaglejr@gmail.com" TargetMode="External"/><Relationship Id="rId7" Type="http://schemas.openxmlformats.org/officeDocument/2006/relationships/hyperlink" Target="mailto:apjon1@yahoo.com" TargetMode="External"/><Relationship Id="rId12" Type="http://schemas.openxmlformats.org/officeDocument/2006/relationships/hyperlink" Target="mailto:callkari@yahoo.com" TargetMode="External"/><Relationship Id="rId17" Type="http://schemas.openxmlformats.org/officeDocument/2006/relationships/hyperlink" Target="mailto:juliepowellwarren@gmail.com" TargetMode="External"/><Relationship Id="rId25" Type="http://schemas.openxmlformats.org/officeDocument/2006/relationships/hyperlink" Target="mailto:lleboeuf0807@gmail.com" TargetMode="External"/><Relationship Id="rId33" Type="http://schemas.openxmlformats.org/officeDocument/2006/relationships/hyperlink" Target="mailto:wendyjimmerson@gmail.com" TargetMode="External"/><Relationship Id="rId2" Type="http://schemas.openxmlformats.org/officeDocument/2006/relationships/hyperlink" Target="mailto:ljdenis214@gmail.com" TargetMode="External"/><Relationship Id="rId16" Type="http://schemas.openxmlformats.org/officeDocument/2006/relationships/hyperlink" Target="mailto:nktaylor76@gmail.com" TargetMode="External"/><Relationship Id="rId20" Type="http://schemas.openxmlformats.org/officeDocument/2006/relationships/hyperlink" Target="mailto:kedejong@msn.com" TargetMode="External"/><Relationship Id="rId29" Type="http://schemas.openxmlformats.org/officeDocument/2006/relationships/hyperlink" Target="mailto:strebornelle@gmail.com" TargetMode="External"/><Relationship Id="rId1" Type="http://schemas.openxmlformats.org/officeDocument/2006/relationships/hyperlink" Target="mailto:txgirl14boys@gmail.com" TargetMode="External"/><Relationship Id="rId6" Type="http://schemas.openxmlformats.org/officeDocument/2006/relationships/hyperlink" Target="mailto:kim@eudyepa.com" TargetMode="External"/><Relationship Id="rId11" Type="http://schemas.openxmlformats.org/officeDocument/2006/relationships/hyperlink" Target="mailto:lismooring@aol.com" TargetMode="External"/><Relationship Id="rId24" Type="http://schemas.openxmlformats.org/officeDocument/2006/relationships/hyperlink" Target="mailto:cjohnson@familyeldercare.org" TargetMode="External"/><Relationship Id="rId32" Type="http://schemas.openxmlformats.org/officeDocument/2006/relationships/hyperlink" Target="mailto:rlontkowski@familyeldercare.org" TargetMode="External"/><Relationship Id="rId5" Type="http://schemas.openxmlformats.org/officeDocument/2006/relationships/hyperlink" Target="mailto:valmayerik@gmail.com" TargetMode="External"/><Relationship Id="rId15" Type="http://schemas.openxmlformats.org/officeDocument/2006/relationships/hyperlink" Target="mailto:melyssaloy@mac.com" TargetMode="External"/><Relationship Id="rId23" Type="http://schemas.openxmlformats.org/officeDocument/2006/relationships/hyperlink" Target="mailto:lazarbre@hotmail.com" TargetMode="External"/><Relationship Id="rId28" Type="http://schemas.openxmlformats.org/officeDocument/2006/relationships/hyperlink" Target="mailto:streboryaj@gmail.com" TargetMode="External"/><Relationship Id="rId10" Type="http://schemas.openxmlformats.org/officeDocument/2006/relationships/hyperlink" Target="mailto:danieldavidson879@gmail.com" TargetMode="External"/><Relationship Id="rId19" Type="http://schemas.openxmlformats.org/officeDocument/2006/relationships/hyperlink" Target="mailto:marcydavidson531@gmail.com" TargetMode="External"/><Relationship Id="rId31" Type="http://schemas.openxmlformats.org/officeDocument/2006/relationships/hyperlink" Target="mailto:i.huerta@sammyshouse.com" TargetMode="External"/><Relationship Id="rId4" Type="http://schemas.openxmlformats.org/officeDocument/2006/relationships/hyperlink" Target="mailto:lina@mircareconsultants.com" TargetMode="External"/><Relationship Id="rId9" Type="http://schemas.openxmlformats.org/officeDocument/2006/relationships/hyperlink" Target="mailto:courtneythomasou91@gmail.com" TargetMode="External"/><Relationship Id="rId14" Type="http://schemas.openxmlformats.org/officeDocument/2006/relationships/hyperlink" Target="mailto:ankur.ankurjain@gmail.com" TargetMode="External"/><Relationship Id="rId22" Type="http://schemas.openxmlformats.org/officeDocument/2006/relationships/hyperlink" Target="mailto:brefaye@hotmail.com" TargetMode="External"/><Relationship Id="rId27" Type="http://schemas.openxmlformats.org/officeDocument/2006/relationships/hyperlink" Target="mailto:amykcox1964@gmail.com" TargetMode="External"/><Relationship Id="rId30" Type="http://schemas.openxmlformats.org/officeDocument/2006/relationships/hyperlink" Target="mailto:datoney2@gmail.com" TargetMode="External"/><Relationship Id="rId35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topLeftCell="S1" workbookViewId="0">
      <pane ySplit="1" topLeftCell="A21" activePane="bottomLeft" state="frozen"/>
      <selection pane="bottomLeft" activeCell="AD1" sqref="AD1"/>
    </sheetView>
  </sheetViews>
  <sheetFormatPr defaultColWidth="9.1328125" defaultRowHeight="14.25" x14ac:dyDescent="0.45"/>
  <cols>
    <col min="1" max="1" width="10.796875" style="1" customWidth="1"/>
    <col min="2" max="3" width="26.796875" style="5" customWidth="1"/>
    <col min="4" max="4" width="11.796875" style="1" customWidth="1"/>
    <col min="5" max="5" width="13.33203125" style="1" customWidth="1"/>
    <col min="6" max="6" width="13.33203125" style="3" customWidth="1"/>
    <col min="7" max="8" width="16.46484375" style="1" customWidth="1"/>
    <col min="9" max="9" width="21" style="48" customWidth="1"/>
    <col min="10" max="10" width="10.53125" style="1" customWidth="1"/>
    <col min="11" max="11" width="28.19921875" style="1" customWidth="1"/>
    <col min="12" max="12" width="19.53125" style="5" customWidth="1"/>
    <col min="13" max="13" width="19.53125" style="1" customWidth="1"/>
    <col min="14" max="14" width="14.796875" style="1" customWidth="1"/>
    <col min="15" max="15" width="13.46484375" style="1" customWidth="1"/>
    <col min="16" max="16" width="12.796875" style="1" customWidth="1"/>
    <col min="17" max="22" width="28.6640625" style="5" customWidth="1"/>
    <col min="23" max="23" width="28.6640625" style="20" customWidth="1"/>
    <col min="24" max="24" width="14.1328125" style="2" customWidth="1"/>
    <col min="25" max="25" width="9.1328125" style="1"/>
    <col min="26" max="26" width="17.73046875" style="1" customWidth="1"/>
    <col min="27" max="27" width="9.1328125" style="1"/>
    <col min="28" max="28" width="12.53125" style="1" bestFit="1" customWidth="1"/>
    <col min="29" max="29" width="18.265625" style="1" customWidth="1"/>
    <col min="30" max="16384" width="9.1328125" style="1"/>
  </cols>
  <sheetData>
    <row r="1" spans="1:30" customFormat="1" x14ac:dyDescent="0.45">
      <c r="A1" t="s">
        <v>71</v>
      </c>
      <c r="B1" t="s">
        <v>112</v>
      </c>
      <c r="C1" t="s">
        <v>355</v>
      </c>
      <c r="D1" t="s">
        <v>72</v>
      </c>
      <c r="E1" t="s">
        <v>73</v>
      </c>
      <c r="F1" s="24" t="s">
        <v>74</v>
      </c>
      <c r="G1" t="s">
        <v>75</v>
      </c>
      <c r="H1" t="s">
        <v>102</v>
      </c>
      <c r="I1" s="43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0</v>
      </c>
      <c r="P1" t="s">
        <v>82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114</v>
      </c>
      <c r="X1" t="s">
        <v>111</v>
      </c>
      <c r="Y1" t="s">
        <v>83</v>
      </c>
      <c r="Z1" t="s">
        <v>302</v>
      </c>
      <c r="AA1" t="s">
        <v>303</v>
      </c>
      <c r="AB1" t="s">
        <v>212</v>
      </c>
      <c r="AC1" t="s">
        <v>296</v>
      </c>
      <c r="AD1" t="s">
        <v>376</v>
      </c>
    </row>
    <row r="2" spans="1:30" ht="44.25" customHeight="1" x14ac:dyDescent="0.45">
      <c r="A2" s="11" t="s">
        <v>84</v>
      </c>
      <c r="B2" s="12" t="s">
        <v>101</v>
      </c>
      <c r="C2" s="12"/>
      <c r="D2" s="11" t="s">
        <v>1</v>
      </c>
      <c r="E2" s="13">
        <v>45883</v>
      </c>
      <c r="F2" s="14">
        <v>0.47916666666666669</v>
      </c>
      <c r="G2" s="11" t="s">
        <v>2</v>
      </c>
      <c r="H2" s="11" t="s">
        <v>103</v>
      </c>
      <c r="I2" s="44" t="s">
        <v>108</v>
      </c>
      <c r="J2" s="13">
        <v>37842</v>
      </c>
      <c r="K2" s="11" t="s">
        <v>4</v>
      </c>
      <c r="L2" s="12" t="s">
        <v>3</v>
      </c>
      <c r="M2" s="15" t="s">
        <v>6</v>
      </c>
      <c r="N2" s="11" t="s">
        <v>5</v>
      </c>
      <c r="O2" s="11" t="s">
        <v>20</v>
      </c>
      <c r="P2" s="11" t="s">
        <v>14</v>
      </c>
      <c r="Q2" s="12"/>
      <c r="R2" s="12"/>
      <c r="S2" s="12"/>
      <c r="T2" s="12"/>
      <c r="U2" s="12"/>
      <c r="V2" s="12"/>
      <c r="W2" s="17">
        <v>45883</v>
      </c>
      <c r="X2" s="13">
        <v>45875</v>
      </c>
      <c r="Y2" s="11"/>
      <c r="Z2" s="11"/>
      <c r="AA2" s="11"/>
      <c r="AD2" s="1" t="s">
        <v>375</v>
      </c>
    </row>
    <row r="3" spans="1:30" s="7" customFormat="1" ht="42.75" x14ac:dyDescent="0.45">
      <c r="A3" s="7" t="s">
        <v>85</v>
      </c>
      <c r="B3" s="6" t="s">
        <v>100</v>
      </c>
      <c r="C3" s="6"/>
      <c r="D3" s="7" t="s">
        <v>7</v>
      </c>
      <c r="E3" s="8">
        <v>45883</v>
      </c>
      <c r="F3" s="9">
        <v>0.65625</v>
      </c>
      <c r="G3" s="7" t="s">
        <v>8</v>
      </c>
      <c r="H3" s="7" t="s">
        <v>103</v>
      </c>
      <c r="I3" s="45" t="s">
        <v>109</v>
      </c>
      <c r="J3" s="8">
        <v>36252</v>
      </c>
      <c r="K3" s="7" t="s">
        <v>9</v>
      </c>
      <c r="L3" s="6" t="s">
        <v>10</v>
      </c>
      <c r="M3" s="10" t="s">
        <v>11</v>
      </c>
      <c r="N3" s="7" t="s">
        <v>12</v>
      </c>
      <c r="O3" s="7" t="s">
        <v>20</v>
      </c>
      <c r="P3" s="7" t="s">
        <v>13</v>
      </c>
      <c r="Q3" s="6"/>
      <c r="R3" s="6"/>
      <c r="S3" s="6"/>
      <c r="T3" s="6"/>
      <c r="U3" s="6"/>
      <c r="V3" s="6"/>
      <c r="W3" s="18">
        <v>45885</v>
      </c>
      <c r="X3" s="8">
        <v>45875</v>
      </c>
      <c r="AD3" s="1" t="s">
        <v>375</v>
      </c>
    </row>
    <row r="4" spans="1:30" s="7" customFormat="1" ht="57" x14ac:dyDescent="0.45">
      <c r="A4" s="7" t="s">
        <v>86</v>
      </c>
      <c r="B4" s="6" t="s">
        <v>99</v>
      </c>
      <c r="C4" s="6"/>
      <c r="D4" s="7" t="s">
        <v>15</v>
      </c>
      <c r="E4" s="8">
        <v>45877</v>
      </c>
      <c r="F4" s="9">
        <v>0.64583333333333337</v>
      </c>
      <c r="G4" s="7" t="s">
        <v>16</v>
      </c>
      <c r="H4" s="7" t="s">
        <v>103</v>
      </c>
      <c r="I4" s="45" t="s">
        <v>18</v>
      </c>
      <c r="J4" s="8">
        <v>38373</v>
      </c>
      <c r="K4" s="7" t="s">
        <v>17</v>
      </c>
      <c r="L4" s="6" t="s">
        <v>18</v>
      </c>
      <c r="M4" s="10" t="s">
        <v>19</v>
      </c>
      <c r="N4" s="7" t="s">
        <v>16</v>
      </c>
      <c r="O4" s="7" t="s">
        <v>20</v>
      </c>
      <c r="P4" s="7" t="s">
        <v>21</v>
      </c>
      <c r="Q4" s="6" t="s">
        <v>22</v>
      </c>
      <c r="R4" s="6"/>
      <c r="S4" s="6"/>
      <c r="T4" s="6"/>
      <c r="U4" s="6"/>
      <c r="V4" s="6"/>
      <c r="W4" s="18">
        <v>45877</v>
      </c>
      <c r="X4" s="8">
        <v>45875</v>
      </c>
      <c r="AD4" s="1" t="s">
        <v>375</v>
      </c>
    </row>
    <row r="5" spans="1:30" ht="43.5" customHeight="1" x14ac:dyDescent="0.45">
      <c r="A5" s="11" t="s">
        <v>87</v>
      </c>
      <c r="B5" s="12" t="s">
        <v>98</v>
      </c>
      <c r="C5" s="12"/>
      <c r="D5" s="11" t="s">
        <v>23</v>
      </c>
      <c r="E5" s="13">
        <v>45882</v>
      </c>
      <c r="F5" s="14">
        <v>0.5</v>
      </c>
      <c r="G5" s="11"/>
      <c r="H5" s="11" t="s">
        <v>104</v>
      </c>
      <c r="I5" s="44" t="s">
        <v>24</v>
      </c>
      <c r="J5" s="11" t="s">
        <v>25</v>
      </c>
      <c r="K5" s="11" t="s">
        <v>26</v>
      </c>
      <c r="L5" s="12" t="s">
        <v>27</v>
      </c>
      <c r="M5" s="15" t="s">
        <v>28</v>
      </c>
      <c r="N5" s="11"/>
      <c r="O5" s="11" t="s">
        <v>29</v>
      </c>
      <c r="P5" s="11"/>
      <c r="Q5" s="16" t="s">
        <v>30</v>
      </c>
      <c r="R5" s="16"/>
      <c r="S5" s="16"/>
      <c r="T5" s="16"/>
      <c r="U5" s="16"/>
      <c r="V5" s="16"/>
      <c r="W5" s="19">
        <v>45882</v>
      </c>
      <c r="X5" s="13">
        <v>45875</v>
      </c>
      <c r="Y5" s="11"/>
      <c r="Z5" s="11"/>
      <c r="AA5" s="11"/>
      <c r="AD5" s="1" t="s">
        <v>375</v>
      </c>
    </row>
    <row r="6" spans="1:30" s="11" customFormat="1" ht="28.5" x14ac:dyDescent="0.45">
      <c r="A6" s="11" t="s">
        <v>92</v>
      </c>
      <c r="B6" s="12" t="s">
        <v>97</v>
      </c>
      <c r="C6" s="12"/>
      <c r="D6" s="11" t="s">
        <v>31</v>
      </c>
      <c r="E6" s="13">
        <v>45882</v>
      </c>
      <c r="F6" s="14">
        <v>0.60416666666666663</v>
      </c>
      <c r="G6" s="11" t="s">
        <v>32</v>
      </c>
      <c r="H6" s="11" t="s">
        <v>103</v>
      </c>
      <c r="I6" s="44" t="s">
        <v>33</v>
      </c>
      <c r="J6" s="11" t="s">
        <v>34</v>
      </c>
      <c r="K6" s="11" t="s">
        <v>35</v>
      </c>
      <c r="L6" s="12" t="s">
        <v>33</v>
      </c>
      <c r="M6" s="15" t="s">
        <v>36</v>
      </c>
      <c r="N6" s="11" t="s">
        <v>37</v>
      </c>
      <c r="O6" s="11" t="s">
        <v>20</v>
      </c>
      <c r="P6" s="11" t="s">
        <v>38</v>
      </c>
      <c r="Q6" s="12"/>
      <c r="R6" s="12"/>
      <c r="S6" s="12"/>
      <c r="T6" s="12"/>
      <c r="U6" s="12"/>
      <c r="V6" s="12"/>
      <c r="W6" s="17">
        <v>45883</v>
      </c>
      <c r="X6" s="13">
        <v>45876</v>
      </c>
      <c r="AD6" s="1" t="s">
        <v>375</v>
      </c>
    </row>
    <row r="7" spans="1:30" s="7" customFormat="1" ht="42.75" customHeight="1" x14ac:dyDescent="0.45">
      <c r="A7" s="7" t="s">
        <v>193</v>
      </c>
      <c r="B7" s="6" t="s">
        <v>195</v>
      </c>
      <c r="C7" s="6"/>
      <c r="D7" s="7" t="s">
        <v>39</v>
      </c>
      <c r="E7" s="8">
        <v>45892</v>
      </c>
      <c r="F7" s="9">
        <v>0.625</v>
      </c>
      <c r="H7" s="7" t="s">
        <v>107</v>
      </c>
      <c r="I7" s="45" t="s">
        <v>110</v>
      </c>
      <c r="J7" s="8">
        <v>35791</v>
      </c>
      <c r="K7" s="7" t="s">
        <v>40</v>
      </c>
      <c r="L7" s="6" t="s">
        <v>41</v>
      </c>
      <c r="M7" s="10" t="s">
        <v>196</v>
      </c>
      <c r="N7" s="7" t="s">
        <v>42</v>
      </c>
      <c r="O7" s="7" t="s">
        <v>43</v>
      </c>
      <c r="P7" s="8">
        <v>22374</v>
      </c>
      <c r="Q7" s="6"/>
      <c r="R7" s="6"/>
      <c r="S7" s="6"/>
      <c r="T7" s="6"/>
      <c r="U7" s="6"/>
      <c r="V7" s="6"/>
      <c r="W7" s="18">
        <v>45892</v>
      </c>
      <c r="X7" s="8">
        <v>45881</v>
      </c>
      <c r="AD7" s="1" t="s">
        <v>375</v>
      </c>
    </row>
    <row r="8" spans="1:30" s="7" customFormat="1" ht="66.75" customHeight="1" x14ac:dyDescent="0.45">
      <c r="A8" s="7" t="s">
        <v>88</v>
      </c>
      <c r="B8" s="6" t="s">
        <v>96</v>
      </c>
      <c r="C8" s="6"/>
      <c r="D8" s="7" t="s">
        <v>44</v>
      </c>
      <c r="E8" s="8">
        <v>45884</v>
      </c>
      <c r="F8" s="9">
        <v>0.54166666666666663</v>
      </c>
      <c r="G8" s="7" t="s">
        <v>45</v>
      </c>
      <c r="H8" s="7" t="s">
        <v>105</v>
      </c>
      <c r="I8" s="45" t="s">
        <v>119</v>
      </c>
      <c r="J8" s="8">
        <v>32230</v>
      </c>
      <c r="K8" s="7" t="s">
        <v>46</v>
      </c>
      <c r="L8" s="6" t="s">
        <v>47</v>
      </c>
      <c r="M8" s="10" t="s">
        <v>70</v>
      </c>
      <c r="N8" s="7" t="s">
        <v>48</v>
      </c>
      <c r="O8" s="7" t="s">
        <v>43</v>
      </c>
      <c r="P8" s="8">
        <v>20776</v>
      </c>
      <c r="Q8" s="6"/>
      <c r="R8" s="6"/>
      <c r="S8" s="6"/>
      <c r="T8" s="6"/>
      <c r="U8" s="6"/>
      <c r="V8" s="6"/>
      <c r="W8" s="18">
        <v>45886</v>
      </c>
      <c r="X8" s="8">
        <v>45881</v>
      </c>
      <c r="AD8" s="1" t="s">
        <v>375</v>
      </c>
    </row>
    <row r="9" spans="1:30" s="7" customFormat="1" ht="66.849999999999994" customHeight="1" x14ac:dyDescent="0.45">
      <c r="A9" s="7" t="s">
        <v>89</v>
      </c>
      <c r="B9" s="6" t="s">
        <v>95</v>
      </c>
      <c r="C9" s="6"/>
      <c r="D9" s="7" t="s">
        <v>49</v>
      </c>
      <c r="E9" s="8">
        <v>45884</v>
      </c>
      <c r="F9" s="9">
        <v>0.58333333333333337</v>
      </c>
      <c r="G9" s="7" t="s">
        <v>50</v>
      </c>
      <c r="H9" s="7" t="s">
        <v>105</v>
      </c>
      <c r="I9" s="45" t="s">
        <v>118</v>
      </c>
      <c r="J9" s="8">
        <v>37542</v>
      </c>
      <c r="K9" s="7" t="s">
        <v>52</v>
      </c>
      <c r="L9" s="6" t="s">
        <v>51</v>
      </c>
      <c r="M9" s="10" t="s">
        <v>53</v>
      </c>
      <c r="N9" s="7" t="s">
        <v>54</v>
      </c>
      <c r="O9" s="7" t="s">
        <v>55</v>
      </c>
      <c r="P9" s="8">
        <v>24153</v>
      </c>
      <c r="Q9" s="6"/>
      <c r="R9" s="6"/>
      <c r="S9" s="6"/>
      <c r="T9" s="6"/>
      <c r="U9" s="6"/>
      <c r="V9" s="6"/>
      <c r="W9" s="18">
        <v>45886</v>
      </c>
      <c r="X9" s="8">
        <v>45881</v>
      </c>
      <c r="AD9" s="1" t="s">
        <v>375</v>
      </c>
    </row>
    <row r="10" spans="1:30" s="7" customFormat="1" ht="42.75" customHeight="1" x14ac:dyDescent="0.45">
      <c r="A10" s="7" t="s">
        <v>90</v>
      </c>
      <c r="B10" s="6" t="s">
        <v>94</v>
      </c>
      <c r="C10" s="6"/>
      <c r="D10" s="7" t="s">
        <v>56</v>
      </c>
      <c r="E10" s="8">
        <v>45884</v>
      </c>
      <c r="F10" s="9">
        <v>0.5</v>
      </c>
      <c r="G10" s="7" t="s">
        <v>57</v>
      </c>
      <c r="H10" s="7" t="s">
        <v>106</v>
      </c>
      <c r="I10" s="45" t="s">
        <v>299</v>
      </c>
      <c r="J10" s="8">
        <v>10861</v>
      </c>
      <c r="K10" s="7" t="s">
        <v>58</v>
      </c>
      <c r="L10" s="6" t="s">
        <v>59</v>
      </c>
      <c r="M10" s="10" t="s">
        <v>60</v>
      </c>
      <c r="N10" s="7" t="s">
        <v>61</v>
      </c>
      <c r="O10" s="7" t="s">
        <v>62</v>
      </c>
      <c r="P10" s="8">
        <v>21307</v>
      </c>
      <c r="R10" s="6"/>
      <c r="S10" s="6"/>
      <c r="T10" s="6"/>
      <c r="U10" s="6"/>
      <c r="V10" s="6"/>
      <c r="W10" s="18">
        <v>45886</v>
      </c>
      <c r="X10" s="8">
        <v>45881</v>
      </c>
      <c r="AC10" s="6" t="s">
        <v>117</v>
      </c>
      <c r="AD10" s="1" t="s">
        <v>375</v>
      </c>
    </row>
    <row r="11" spans="1:30" s="11" customFormat="1" ht="38.25" customHeight="1" x14ac:dyDescent="0.45">
      <c r="A11" s="11" t="s">
        <v>91</v>
      </c>
      <c r="B11" s="12" t="s">
        <v>93</v>
      </c>
      <c r="C11" s="12"/>
      <c r="D11" s="11" t="s">
        <v>63</v>
      </c>
      <c r="E11" s="13">
        <v>45884</v>
      </c>
      <c r="F11" s="14">
        <v>0.41666666666666669</v>
      </c>
      <c r="G11" s="11" t="s">
        <v>64</v>
      </c>
      <c r="H11" s="11" t="s">
        <v>103</v>
      </c>
      <c r="I11" s="44" t="s">
        <v>65</v>
      </c>
      <c r="J11" s="13">
        <v>36929</v>
      </c>
      <c r="K11" s="11" t="s">
        <v>66</v>
      </c>
      <c r="L11" s="12" t="s">
        <v>67</v>
      </c>
      <c r="M11" s="15" t="s">
        <v>68</v>
      </c>
      <c r="N11" s="11" t="s">
        <v>64</v>
      </c>
      <c r="O11" s="11" t="s">
        <v>20</v>
      </c>
      <c r="P11" s="11" t="s">
        <v>69</v>
      </c>
      <c r="Q11" s="12"/>
      <c r="R11" s="12"/>
      <c r="S11" s="12"/>
      <c r="T11" s="12"/>
      <c r="U11" s="12"/>
      <c r="V11" s="12"/>
      <c r="W11" s="17">
        <v>45885</v>
      </c>
      <c r="X11" s="13">
        <v>45881</v>
      </c>
      <c r="AD11" s="1" t="s">
        <v>375</v>
      </c>
    </row>
    <row r="12" spans="1:30" s="7" customFormat="1" ht="37.5" customHeight="1" x14ac:dyDescent="0.45">
      <c r="A12" s="7" t="s">
        <v>120</v>
      </c>
      <c r="B12" s="6" t="s">
        <v>121</v>
      </c>
      <c r="C12" s="6"/>
      <c r="D12" s="7" t="s">
        <v>122</v>
      </c>
      <c r="E12" s="8">
        <v>45896</v>
      </c>
      <c r="F12" s="9">
        <v>0.5</v>
      </c>
      <c r="G12" s="7" t="s">
        <v>123</v>
      </c>
      <c r="H12" s="7" t="s">
        <v>103</v>
      </c>
      <c r="I12" s="45" t="s">
        <v>124</v>
      </c>
      <c r="J12" s="8">
        <v>35729</v>
      </c>
      <c r="K12" s="7" t="s">
        <v>128</v>
      </c>
      <c r="L12" s="6" t="s">
        <v>124</v>
      </c>
      <c r="M12" s="10" t="s">
        <v>190</v>
      </c>
      <c r="N12" s="7" t="s">
        <v>125</v>
      </c>
      <c r="O12" s="7" t="s">
        <v>43</v>
      </c>
      <c r="P12" s="8">
        <v>24110</v>
      </c>
      <c r="Q12" s="25" t="s">
        <v>191</v>
      </c>
      <c r="R12" s="25"/>
      <c r="S12" s="25"/>
      <c r="T12" s="25"/>
      <c r="U12" s="25"/>
      <c r="V12" s="25"/>
      <c r="W12" s="18">
        <v>45896</v>
      </c>
      <c r="X12" s="8">
        <v>45888</v>
      </c>
      <c r="AD12" s="1" t="s">
        <v>375</v>
      </c>
    </row>
    <row r="13" spans="1:30" s="34" customFormat="1" ht="42.75" x14ac:dyDescent="0.45">
      <c r="A13" s="34" t="s">
        <v>131</v>
      </c>
      <c r="B13" s="35" t="s">
        <v>132</v>
      </c>
      <c r="C13" s="35"/>
      <c r="D13" s="34" t="s">
        <v>130</v>
      </c>
      <c r="F13" s="36"/>
      <c r="G13" s="34" t="s">
        <v>133</v>
      </c>
      <c r="H13" s="34" t="s">
        <v>43</v>
      </c>
      <c r="I13" s="46" t="s">
        <v>134</v>
      </c>
      <c r="J13" s="37">
        <v>34415</v>
      </c>
      <c r="K13" s="34" t="s">
        <v>135</v>
      </c>
      <c r="L13" s="35" t="s">
        <v>134</v>
      </c>
      <c r="M13" s="34" t="s">
        <v>136</v>
      </c>
      <c r="N13" s="34" t="s">
        <v>133</v>
      </c>
      <c r="O13" s="34" t="s">
        <v>43</v>
      </c>
      <c r="P13" s="37">
        <v>23235</v>
      </c>
      <c r="Q13" s="38" t="s">
        <v>127</v>
      </c>
      <c r="R13" s="39" t="s">
        <v>126</v>
      </c>
      <c r="S13" s="40" t="s">
        <v>192</v>
      </c>
      <c r="T13" s="38" t="s">
        <v>123</v>
      </c>
      <c r="U13" s="38" t="s">
        <v>129</v>
      </c>
      <c r="V13" s="41">
        <v>23893</v>
      </c>
      <c r="W13" s="42"/>
      <c r="X13" s="37">
        <v>45888</v>
      </c>
      <c r="AC13" s="34" t="s">
        <v>298</v>
      </c>
      <c r="AD13" s="1" t="s">
        <v>375</v>
      </c>
    </row>
    <row r="14" spans="1:30" s="7" customFormat="1" ht="42.75" customHeight="1" x14ac:dyDescent="0.45">
      <c r="A14" s="7" t="s">
        <v>137</v>
      </c>
      <c r="B14" s="6" t="s">
        <v>138</v>
      </c>
      <c r="C14" s="6"/>
      <c r="D14" s="7" t="s">
        <v>139</v>
      </c>
      <c r="E14" s="8">
        <v>45896</v>
      </c>
      <c r="F14" s="9">
        <v>0.625</v>
      </c>
      <c r="H14" s="7" t="s">
        <v>103</v>
      </c>
      <c r="I14" s="45" t="s">
        <v>300</v>
      </c>
      <c r="J14" s="8">
        <v>32931</v>
      </c>
      <c r="K14" s="7" t="s">
        <v>141</v>
      </c>
      <c r="L14" s="6" t="s">
        <v>140</v>
      </c>
      <c r="M14" s="10" t="s">
        <v>194</v>
      </c>
      <c r="N14" s="7" t="s">
        <v>144</v>
      </c>
      <c r="O14" s="7" t="s">
        <v>43</v>
      </c>
      <c r="P14" s="8">
        <v>22119</v>
      </c>
      <c r="Q14" s="7" t="s">
        <v>142</v>
      </c>
      <c r="R14" s="6" t="s">
        <v>143</v>
      </c>
      <c r="U14" s="7" t="s">
        <v>129</v>
      </c>
      <c r="V14" s="8">
        <v>20537</v>
      </c>
      <c r="W14" s="18">
        <v>45896</v>
      </c>
      <c r="X14" s="8">
        <v>45888</v>
      </c>
      <c r="AD14" s="1" t="s">
        <v>375</v>
      </c>
    </row>
    <row r="15" spans="1:30" s="7" customFormat="1" ht="39" customHeight="1" x14ac:dyDescent="0.45">
      <c r="A15" s="7" t="s">
        <v>145</v>
      </c>
      <c r="B15" s="6" t="s">
        <v>146</v>
      </c>
      <c r="C15" s="6"/>
      <c r="D15" s="7" t="s">
        <v>147</v>
      </c>
      <c r="E15" s="8">
        <v>45896</v>
      </c>
      <c r="F15" s="9">
        <v>0.58333333333333337</v>
      </c>
      <c r="H15" s="7" t="s">
        <v>103</v>
      </c>
      <c r="I15" s="45" t="s">
        <v>148</v>
      </c>
      <c r="J15" s="8">
        <v>38911</v>
      </c>
      <c r="K15" s="7" t="s">
        <v>149</v>
      </c>
      <c r="L15" s="6" t="s">
        <v>148</v>
      </c>
      <c r="M15" s="10" t="s">
        <v>151</v>
      </c>
      <c r="N15" s="7" t="s">
        <v>152</v>
      </c>
      <c r="O15" s="7" t="s">
        <v>129</v>
      </c>
      <c r="P15" s="8">
        <v>27696</v>
      </c>
      <c r="Q15" s="7" t="s">
        <v>150</v>
      </c>
      <c r="R15" s="6" t="s">
        <v>148</v>
      </c>
      <c r="S15" s="10" t="s">
        <v>189</v>
      </c>
      <c r="T15" s="7" t="s">
        <v>188</v>
      </c>
      <c r="U15" s="7" t="s">
        <v>43</v>
      </c>
      <c r="V15" s="8">
        <v>27465</v>
      </c>
      <c r="W15" s="18">
        <v>45896</v>
      </c>
      <c r="X15" s="8">
        <v>45888</v>
      </c>
      <c r="AD15" s="1" t="s">
        <v>375</v>
      </c>
    </row>
    <row r="16" spans="1:30" s="7" customFormat="1" ht="41.25" customHeight="1" x14ac:dyDescent="0.45">
      <c r="A16" s="7" t="s">
        <v>154</v>
      </c>
      <c r="B16" s="6" t="s">
        <v>155</v>
      </c>
      <c r="C16" s="6"/>
      <c r="D16" s="7" t="s">
        <v>153</v>
      </c>
      <c r="E16" s="8">
        <v>45897</v>
      </c>
      <c r="F16" s="9">
        <v>0.5625</v>
      </c>
      <c r="G16" s="7" t="s">
        <v>156</v>
      </c>
      <c r="H16" s="7" t="s">
        <v>103</v>
      </c>
      <c r="I16" s="45" t="s">
        <v>157</v>
      </c>
      <c r="J16" s="8">
        <v>20884</v>
      </c>
      <c r="K16" s="7" t="s">
        <v>184</v>
      </c>
      <c r="L16" s="6" t="s">
        <v>157</v>
      </c>
      <c r="M16" s="10" t="s">
        <v>159</v>
      </c>
      <c r="N16" s="7" t="s">
        <v>187</v>
      </c>
      <c r="O16" s="7" t="s">
        <v>129</v>
      </c>
      <c r="P16" s="8">
        <v>21311</v>
      </c>
      <c r="Q16" s="7" t="s">
        <v>185</v>
      </c>
      <c r="R16" s="6" t="s">
        <v>158</v>
      </c>
      <c r="U16" s="7" t="s">
        <v>43</v>
      </c>
      <c r="V16" s="6"/>
      <c r="W16" s="18">
        <v>45897</v>
      </c>
      <c r="X16" s="8">
        <v>45888</v>
      </c>
      <c r="AD16" s="1" t="s">
        <v>375</v>
      </c>
    </row>
    <row r="17" spans="1:30" s="7" customFormat="1" ht="40.5" customHeight="1" x14ac:dyDescent="0.45">
      <c r="A17" s="7" t="s">
        <v>160</v>
      </c>
      <c r="B17" s="6" t="s">
        <v>161</v>
      </c>
      <c r="C17" s="6"/>
      <c r="D17" s="7" t="s">
        <v>162</v>
      </c>
      <c r="E17" s="8">
        <v>45896</v>
      </c>
      <c r="F17" s="9">
        <v>0.66666666666666663</v>
      </c>
      <c r="G17" s="7" t="s">
        <v>163</v>
      </c>
      <c r="H17" s="7" t="s">
        <v>103</v>
      </c>
      <c r="I17" s="45" t="s">
        <v>164</v>
      </c>
      <c r="J17" s="8">
        <v>38124</v>
      </c>
      <c r="K17" s="7" t="s">
        <v>165</v>
      </c>
      <c r="L17" s="6" t="s">
        <v>164</v>
      </c>
      <c r="N17" s="7" t="s">
        <v>168</v>
      </c>
      <c r="O17" s="7" t="s">
        <v>129</v>
      </c>
      <c r="P17" s="8">
        <v>24820</v>
      </c>
      <c r="Q17" s="7" t="s">
        <v>166</v>
      </c>
      <c r="R17" s="6" t="s">
        <v>164</v>
      </c>
      <c r="S17" s="10" t="s">
        <v>167</v>
      </c>
      <c r="T17" s="7" t="s">
        <v>163</v>
      </c>
      <c r="U17" s="7" t="s">
        <v>43</v>
      </c>
      <c r="V17" s="8">
        <v>27982</v>
      </c>
      <c r="W17" s="18">
        <v>45896</v>
      </c>
      <c r="X17" s="8">
        <v>45888</v>
      </c>
      <c r="AD17" s="1" t="s">
        <v>375</v>
      </c>
    </row>
    <row r="18" spans="1:30" s="7" customFormat="1" ht="47.25" customHeight="1" x14ac:dyDescent="0.45">
      <c r="A18" s="7" t="s">
        <v>169</v>
      </c>
      <c r="B18" s="6" t="s">
        <v>170</v>
      </c>
      <c r="C18" s="6"/>
      <c r="D18" s="7" t="s">
        <v>171</v>
      </c>
      <c r="E18" s="8">
        <v>45896</v>
      </c>
      <c r="F18" s="9">
        <v>0.70833333333333337</v>
      </c>
      <c r="H18" s="7" t="s">
        <v>103</v>
      </c>
      <c r="I18" s="45" t="s">
        <v>173</v>
      </c>
      <c r="J18" s="8">
        <v>31904</v>
      </c>
      <c r="K18" s="7" t="s">
        <v>172</v>
      </c>
      <c r="L18" s="6" t="s">
        <v>173</v>
      </c>
      <c r="M18" s="10"/>
      <c r="O18" s="7" t="s">
        <v>43</v>
      </c>
      <c r="P18" s="8">
        <v>19757</v>
      </c>
      <c r="Q18" s="7" t="s">
        <v>174</v>
      </c>
      <c r="R18" s="6" t="s">
        <v>173</v>
      </c>
      <c r="U18" s="7" t="s">
        <v>129</v>
      </c>
      <c r="V18" s="8">
        <v>20048</v>
      </c>
      <c r="W18" s="18">
        <v>45896</v>
      </c>
      <c r="X18" s="8">
        <v>45888</v>
      </c>
      <c r="AD18" s="1" t="s">
        <v>375</v>
      </c>
    </row>
    <row r="19" spans="1:30" s="7" customFormat="1" ht="43.5" customHeight="1" x14ac:dyDescent="0.45">
      <c r="A19" s="7" t="s">
        <v>176</v>
      </c>
      <c r="B19" s="6" t="s">
        <v>177</v>
      </c>
      <c r="C19" s="6"/>
      <c r="D19" s="7" t="s">
        <v>175</v>
      </c>
      <c r="E19" s="8">
        <v>45897</v>
      </c>
      <c r="F19" s="9">
        <v>0.60416666666666663</v>
      </c>
      <c r="H19" s="7" t="s">
        <v>103</v>
      </c>
      <c r="I19" s="45" t="s">
        <v>178</v>
      </c>
      <c r="J19" s="8">
        <v>38390</v>
      </c>
      <c r="K19" s="7" t="s">
        <v>179</v>
      </c>
      <c r="L19" s="6" t="s">
        <v>178</v>
      </c>
      <c r="N19" s="7" t="s">
        <v>182</v>
      </c>
      <c r="O19" s="7" t="s">
        <v>129</v>
      </c>
      <c r="P19" s="8">
        <v>22227</v>
      </c>
      <c r="Q19" s="7" t="s">
        <v>180</v>
      </c>
      <c r="R19" s="6" t="s">
        <v>178</v>
      </c>
      <c r="S19" s="10" t="s">
        <v>181</v>
      </c>
      <c r="T19" s="7" t="s">
        <v>183</v>
      </c>
      <c r="U19" s="7" t="s">
        <v>43</v>
      </c>
      <c r="V19" s="8">
        <v>23237</v>
      </c>
      <c r="W19" s="18">
        <v>45897</v>
      </c>
      <c r="X19" s="8">
        <v>45888</v>
      </c>
      <c r="AD19" s="1" t="s">
        <v>375</v>
      </c>
    </row>
    <row r="20" spans="1:30" s="26" customFormat="1" ht="33.75" customHeight="1" x14ac:dyDescent="0.45">
      <c r="A20" s="26" t="s">
        <v>198</v>
      </c>
      <c r="B20" s="27" t="s">
        <v>199</v>
      </c>
      <c r="C20" s="27"/>
      <c r="D20" s="26" t="s">
        <v>200</v>
      </c>
      <c r="E20" s="28">
        <v>45903</v>
      </c>
      <c r="F20" s="29">
        <v>0.625</v>
      </c>
      <c r="H20" s="26" t="s">
        <v>43</v>
      </c>
      <c r="I20" s="47" t="s">
        <v>201</v>
      </c>
      <c r="J20" s="28">
        <v>31916</v>
      </c>
      <c r="K20" s="26" t="s">
        <v>202</v>
      </c>
      <c r="L20" s="27" t="s">
        <v>201</v>
      </c>
      <c r="M20" s="30" t="s">
        <v>203</v>
      </c>
      <c r="N20" s="26" t="s">
        <v>204</v>
      </c>
      <c r="O20" s="26" t="s">
        <v>43</v>
      </c>
      <c r="P20" s="28">
        <v>23486</v>
      </c>
      <c r="Q20" s="27"/>
      <c r="R20" s="27"/>
      <c r="S20" s="27"/>
      <c r="T20" s="27"/>
      <c r="U20" s="27"/>
      <c r="V20" s="27"/>
      <c r="W20" s="32">
        <v>45904</v>
      </c>
      <c r="X20" s="28" t="s">
        <v>301</v>
      </c>
      <c r="AD20" s="1" t="s">
        <v>375</v>
      </c>
    </row>
    <row r="21" spans="1:30" s="26" customFormat="1" ht="28.5" x14ac:dyDescent="0.45">
      <c r="A21" s="26" t="s">
        <v>205</v>
      </c>
      <c r="B21" s="27" t="s">
        <v>206</v>
      </c>
      <c r="C21" s="27"/>
      <c r="D21" s="26" t="s">
        <v>207</v>
      </c>
      <c r="E21" s="28">
        <v>45905</v>
      </c>
      <c r="F21" s="29">
        <v>0.66666666666666663</v>
      </c>
      <c r="I21" s="47" t="s">
        <v>295</v>
      </c>
      <c r="J21" s="28">
        <v>32518</v>
      </c>
      <c r="K21" s="26" t="s">
        <v>208</v>
      </c>
      <c r="L21" s="27" t="s">
        <v>209</v>
      </c>
      <c r="M21" s="30" t="s">
        <v>210</v>
      </c>
      <c r="N21" s="26" t="s">
        <v>211</v>
      </c>
      <c r="O21" s="26" t="s">
        <v>43</v>
      </c>
      <c r="P21" s="28">
        <v>20843</v>
      </c>
      <c r="Q21" s="27" t="s">
        <v>219</v>
      </c>
      <c r="R21" s="27" t="s">
        <v>209</v>
      </c>
      <c r="S21" s="31" t="s">
        <v>220</v>
      </c>
      <c r="T21" s="27"/>
      <c r="U21" s="27" t="s">
        <v>221</v>
      </c>
      <c r="V21" s="32">
        <v>17061</v>
      </c>
      <c r="W21" s="32">
        <v>45908</v>
      </c>
      <c r="X21" s="28">
        <v>45896</v>
      </c>
      <c r="AB21" s="33">
        <v>45727</v>
      </c>
      <c r="AD21" s="1" t="s">
        <v>375</v>
      </c>
    </row>
    <row r="22" spans="1:30" s="26" customFormat="1" ht="42.75" x14ac:dyDescent="0.45">
      <c r="A22" s="26" t="s">
        <v>222</v>
      </c>
      <c r="B22" s="27" t="s">
        <v>223</v>
      </c>
      <c r="C22" s="27"/>
      <c r="D22" s="26" t="s">
        <v>224</v>
      </c>
      <c r="E22" s="28">
        <v>45905</v>
      </c>
      <c r="F22" s="29">
        <v>0.70833333333333337</v>
      </c>
      <c r="G22" s="26" t="s">
        <v>225</v>
      </c>
      <c r="H22" s="26" t="s">
        <v>231</v>
      </c>
      <c r="I22" s="47" t="s">
        <v>226</v>
      </c>
      <c r="J22" s="28">
        <v>20160</v>
      </c>
      <c r="K22" s="26" t="s">
        <v>227</v>
      </c>
      <c r="L22" s="27" t="s">
        <v>229</v>
      </c>
      <c r="M22" s="30" t="s">
        <v>228</v>
      </c>
      <c r="N22" s="26" t="s">
        <v>230</v>
      </c>
      <c r="Q22" s="27"/>
      <c r="R22" s="27"/>
      <c r="S22" s="27"/>
      <c r="T22" s="27"/>
      <c r="U22" s="27"/>
      <c r="V22" s="27"/>
      <c r="W22" s="32">
        <v>45908</v>
      </c>
      <c r="X22" s="28">
        <v>45897</v>
      </c>
      <c r="AB22" s="28">
        <v>45747</v>
      </c>
      <c r="AD22" s="1" t="s">
        <v>375</v>
      </c>
    </row>
    <row r="23" spans="1:30" s="26" customFormat="1" ht="28.5" x14ac:dyDescent="0.45">
      <c r="A23" s="26" t="s">
        <v>233</v>
      </c>
      <c r="B23" s="27" t="s">
        <v>234</v>
      </c>
      <c r="C23" s="27"/>
      <c r="D23" s="26" t="s">
        <v>232</v>
      </c>
      <c r="E23" s="28">
        <v>45908</v>
      </c>
      <c r="F23" s="29">
        <v>0.60416666666666663</v>
      </c>
      <c r="G23" s="26" t="s">
        <v>235</v>
      </c>
      <c r="H23" s="26" t="s">
        <v>237</v>
      </c>
      <c r="I23" s="47" t="s">
        <v>236</v>
      </c>
      <c r="J23" s="28">
        <v>35094</v>
      </c>
      <c r="K23" s="26" t="s">
        <v>238</v>
      </c>
      <c r="L23" s="27" t="s">
        <v>239</v>
      </c>
      <c r="M23" s="30" t="s">
        <v>240</v>
      </c>
      <c r="N23" s="26" t="s">
        <v>235</v>
      </c>
      <c r="O23" s="26" t="s">
        <v>241</v>
      </c>
      <c r="P23" s="28">
        <v>22865</v>
      </c>
      <c r="Q23" s="27" t="s">
        <v>242</v>
      </c>
      <c r="R23" s="27" t="s">
        <v>243</v>
      </c>
      <c r="S23" s="27"/>
      <c r="T23" s="27" t="s">
        <v>244</v>
      </c>
      <c r="U23" s="27" t="s">
        <v>186</v>
      </c>
      <c r="V23" s="32">
        <v>22712</v>
      </c>
      <c r="W23" s="32">
        <v>45908</v>
      </c>
      <c r="X23" s="28">
        <v>45897</v>
      </c>
      <c r="AB23" s="28">
        <v>45821</v>
      </c>
      <c r="AD23" s="1" t="s">
        <v>375</v>
      </c>
    </row>
    <row r="24" spans="1:30" s="26" customFormat="1" ht="37.5" customHeight="1" x14ac:dyDescent="0.45">
      <c r="A24" s="26" t="s">
        <v>246</v>
      </c>
      <c r="B24" s="27" t="s">
        <v>247</v>
      </c>
      <c r="C24" s="27"/>
      <c r="D24" s="26" t="s">
        <v>245</v>
      </c>
      <c r="E24" s="28">
        <v>45904</v>
      </c>
      <c r="F24" s="29">
        <v>0.66666666666666663</v>
      </c>
      <c r="G24" s="26" t="s">
        <v>248</v>
      </c>
      <c r="H24" s="26" t="s">
        <v>249</v>
      </c>
      <c r="I24" s="47" t="s">
        <v>250</v>
      </c>
      <c r="J24" s="28">
        <v>33381</v>
      </c>
      <c r="K24" s="26" t="s">
        <v>251</v>
      </c>
      <c r="L24" s="27" t="s">
        <v>252</v>
      </c>
      <c r="M24" s="30" t="s">
        <v>253</v>
      </c>
      <c r="N24" s="26" t="s">
        <v>248</v>
      </c>
      <c r="O24" s="26" t="s">
        <v>221</v>
      </c>
      <c r="P24" s="28">
        <v>23892</v>
      </c>
      <c r="Q24" s="27" t="s">
        <v>254</v>
      </c>
      <c r="R24" s="27" t="s">
        <v>255</v>
      </c>
      <c r="S24" s="31" t="s">
        <v>256</v>
      </c>
      <c r="T24" s="27"/>
      <c r="U24" s="27" t="s">
        <v>107</v>
      </c>
      <c r="V24" s="32">
        <v>23613</v>
      </c>
      <c r="W24" s="32">
        <v>45904</v>
      </c>
      <c r="X24" s="28">
        <v>45897</v>
      </c>
      <c r="AB24" s="28">
        <v>45810</v>
      </c>
      <c r="AD24" s="1" t="s">
        <v>375</v>
      </c>
    </row>
    <row r="25" spans="1:30" s="26" customFormat="1" ht="39" customHeight="1" x14ac:dyDescent="0.45">
      <c r="A25" s="26" t="s">
        <v>258</v>
      </c>
      <c r="B25" s="27" t="s">
        <v>259</v>
      </c>
      <c r="C25" s="27"/>
      <c r="D25" s="26" t="s">
        <v>257</v>
      </c>
      <c r="E25" s="28">
        <v>45904</v>
      </c>
      <c r="F25" s="29">
        <v>0.54166666666666663</v>
      </c>
      <c r="G25" s="26" t="s">
        <v>260</v>
      </c>
      <c r="H25" s="26" t="s">
        <v>261</v>
      </c>
      <c r="I25" s="47" t="s">
        <v>262</v>
      </c>
      <c r="J25" s="28">
        <v>36216</v>
      </c>
      <c r="K25" s="26" t="s">
        <v>263</v>
      </c>
      <c r="L25" s="27" t="s">
        <v>262</v>
      </c>
      <c r="M25" s="30" t="s">
        <v>264</v>
      </c>
      <c r="N25" s="26" t="s">
        <v>265</v>
      </c>
      <c r="O25" s="26" t="s">
        <v>221</v>
      </c>
      <c r="P25" s="28">
        <v>24667</v>
      </c>
      <c r="Q25" s="27" t="s">
        <v>266</v>
      </c>
      <c r="R25" s="27" t="s">
        <v>262</v>
      </c>
      <c r="S25" s="31" t="s">
        <v>267</v>
      </c>
      <c r="T25" s="27" t="s">
        <v>260</v>
      </c>
      <c r="U25" s="27" t="s">
        <v>107</v>
      </c>
      <c r="V25" s="32">
        <v>26443</v>
      </c>
      <c r="W25" s="32">
        <v>45904</v>
      </c>
      <c r="X25" s="28">
        <v>45896</v>
      </c>
      <c r="AB25" s="28">
        <v>45726</v>
      </c>
      <c r="AD25" s="1" t="s">
        <v>375</v>
      </c>
    </row>
    <row r="26" spans="1:30" s="26" customFormat="1" ht="32.25" customHeight="1" x14ac:dyDescent="0.45">
      <c r="A26" s="26" t="s">
        <v>269</v>
      </c>
      <c r="B26" s="27" t="s">
        <v>270</v>
      </c>
      <c r="C26" s="27"/>
      <c r="D26" s="26" t="s">
        <v>268</v>
      </c>
      <c r="E26" s="28">
        <v>45903</v>
      </c>
      <c r="F26" s="29">
        <v>0.70833333333333337</v>
      </c>
      <c r="G26" s="26" t="s">
        <v>271</v>
      </c>
      <c r="H26" s="26" t="s">
        <v>261</v>
      </c>
      <c r="I26" s="47" t="s">
        <v>272</v>
      </c>
      <c r="J26" s="28">
        <v>35690</v>
      </c>
      <c r="K26" s="26" t="s">
        <v>273</v>
      </c>
      <c r="L26" s="27" t="s">
        <v>272</v>
      </c>
      <c r="M26" s="30" t="s">
        <v>274</v>
      </c>
      <c r="N26" s="26" t="s">
        <v>271</v>
      </c>
      <c r="O26" s="26" t="s">
        <v>221</v>
      </c>
      <c r="P26" s="28">
        <v>23758</v>
      </c>
      <c r="Q26" s="27" t="s">
        <v>275</v>
      </c>
      <c r="R26" s="27" t="s">
        <v>272</v>
      </c>
      <c r="S26" s="27"/>
      <c r="T26" s="27"/>
      <c r="U26" s="27"/>
      <c r="V26" s="27"/>
      <c r="W26" s="32">
        <v>45904</v>
      </c>
      <c r="X26" s="28">
        <v>45897</v>
      </c>
      <c r="AB26" s="28">
        <v>45684</v>
      </c>
      <c r="AD26" s="1" t="s">
        <v>375</v>
      </c>
    </row>
    <row r="27" spans="1:30" s="26" customFormat="1" ht="36" customHeight="1" x14ac:dyDescent="0.45">
      <c r="A27" s="26" t="s">
        <v>277</v>
      </c>
      <c r="B27" s="27" t="s">
        <v>286</v>
      </c>
      <c r="C27" s="27"/>
      <c r="D27" s="26" t="s">
        <v>276</v>
      </c>
      <c r="E27" s="28">
        <v>45904</v>
      </c>
      <c r="F27" s="29">
        <v>0.77083333333333337</v>
      </c>
      <c r="G27" s="26" t="s">
        <v>278</v>
      </c>
      <c r="H27" s="26" t="s">
        <v>261</v>
      </c>
      <c r="I27" s="47" t="s">
        <v>279</v>
      </c>
      <c r="J27" s="28">
        <v>37074</v>
      </c>
      <c r="K27" s="26" t="s">
        <v>280</v>
      </c>
      <c r="L27" s="27" t="s">
        <v>282</v>
      </c>
      <c r="N27" s="26" t="s">
        <v>281</v>
      </c>
      <c r="O27" s="26" t="s">
        <v>221</v>
      </c>
      <c r="P27" s="28">
        <v>23998</v>
      </c>
      <c r="Q27" s="27" t="s">
        <v>283</v>
      </c>
      <c r="R27" s="27" t="s">
        <v>279</v>
      </c>
      <c r="S27" s="31" t="s">
        <v>284</v>
      </c>
      <c r="T27" s="27" t="s">
        <v>278</v>
      </c>
      <c r="U27" s="27" t="s">
        <v>107</v>
      </c>
      <c r="V27" s="32">
        <v>21954</v>
      </c>
      <c r="W27" s="32">
        <v>45908</v>
      </c>
      <c r="X27" s="28">
        <v>45896</v>
      </c>
      <c r="AB27" s="28">
        <v>45744</v>
      </c>
      <c r="AD27" s="1" t="s">
        <v>375</v>
      </c>
    </row>
    <row r="28" spans="1:30" s="26" customFormat="1" ht="39" customHeight="1" x14ac:dyDescent="0.45">
      <c r="A28" s="26" t="s">
        <v>285</v>
      </c>
      <c r="B28" s="27" t="s">
        <v>287</v>
      </c>
      <c r="C28" s="27"/>
      <c r="D28" s="26" t="s">
        <v>288</v>
      </c>
      <c r="E28" s="28">
        <v>45905</v>
      </c>
      <c r="F28" s="29">
        <v>0.72916666666666663</v>
      </c>
      <c r="G28" s="26" t="s">
        <v>289</v>
      </c>
      <c r="H28" s="26" t="s">
        <v>231</v>
      </c>
      <c r="I28" s="47" t="s">
        <v>290</v>
      </c>
      <c r="J28" s="28">
        <v>29809</v>
      </c>
      <c r="K28" s="26" t="s">
        <v>291</v>
      </c>
      <c r="L28" s="27" t="s">
        <v>229</v>
      </c>
      <c r="M28" s="30" t="s">
        <v>292</v>
      </c>
      <c r="N28" s="26" t="s">
        <v>293</v>
      </c>
      <c r="O28" s="26" t="s">
        <v>294</v>
      </c>
      <c r="Q28" s="27"/>
      <c r="R28" s="27"/>
      <c r="S28" s="27"/>
      <c r="T28" s="27"/>
      <c r="U28" s="27"/>
      <c r="V28" s="27"/>
      <c r="W28" s="32">
        <v>45908</v>
      </c>
      <c r="X28" s="28">
        <v>45897</v>
      </c>
      <c r="AB28" s="28">
        <v>45740</v>
      </c>
      <c r="AC28" s="26" t="s">
        <v>297</v>
      </c>
      <c r="AD28" s="1" t="s">
        <v>375</v>
      </c>
    </row>
    <row r="29" spans="1:30" ht="27" customHeight="1" x14ac:dyDescent="0.45">
      <c r="A29" s="1" t="s">
        <v>304</v>
      </c>
      <c r="B29" s="5" t="s">
        <v>305</v>
      </c>
      <c r="C29" s="5" t="s">
        <v>357</v>
      </c>
      <c r="D29" s="1" t="s">
        <v>306</v>
      </c>
      <c r="G29" s="1" t="s">
        <v>307</v>
      </c>
      <c r="H29" s="1" t="s">
        <v>353</v>
      </c>
      <c r="I29" s="48" t="s">
        <v>358</v>
      </c>
      <c r="J29" s="1" t="s">
        <v>309</v>
      </c>
      <c r="K29" s="1" t="s">
        <v>310</v>
      </c>
      <c r="L29" s="5" t="s">
        <v>308</v>
      </c>
      <c r="M29" s="1" t="s">
        <v>311</v>
      </c>
      <c r="N29" s="1" t="s">
        <v>307</v>
      </c>
      <c r="O29" s="1" t="s">
        <v>312</v>
      </c>
      <c r="P29" s="1" t="s">
        <v>313</v>
      </c>
      <c r="Q29" s="5" t="s">
        <v>354</v>
      </c>
      <c r="X29" s="2" t="s">
        <v>314</v>
      </c>
      <c r="AB29" s="1" t="s">
        <v>315</v>
      </c>
      <c r="AC29" s="1" t="s">
        <v>316</v>
      </c>
    </row>
    <row r="30" spans="1:30" ht="28.5" x14ac:dyDescent="0.45">
      <c r="A30" s="1" t="s">
        <v>352</v>
      </c>
      <c r="B30" s="5" t="s">
        <v>317</v>
      </c>
      <c r="C30" s="5" t="s">
        <v>356</v>
      </c>
      <c r="D30" s="1" t="s">
        <v>318</v>
      </c>
      <c r="G30" s="1" t="s">
        <v>319</v>
      </c>
      <c r="H30" s="1" t="s">
        <v>103</v>
      </c>
      <c r="I30" s="48" t="s">
        <v>320</v>
      </c>
      <c r="J30" s="1" t="s">
        <v>321</v>
      </c>
      <c r="K30" s="1" t="s">
        <v>359</v>
      </c>
      <c r="L30" s="5" t="s">
        <v>320</v>
      </c>
      <c r="M30" s="4" t="s">
        <v>360</v>
      </c>
      <c r="N30" s="1" t="s">
        <v>361</v>
      </c>
      <c r="O30" s="1" t="s">
        <v>362</v>
      </c>
      <c r="P30" s="2">
        <v>24139</v>
      </c>
      <c r="Q30" s="5" t="s">
        <v>363</v>
      </c>
      <c r="R30" s="5" t="s">
        <v>320</v>
      </c>
      <c r="T30" s="5" t="s">
        <v>364</v>
      </c>
      <c r="U30" s="5" t="s">
        <v>129</v>
      </c>
      <c r="V30" s="20">
        <v>23096</v>
      </c>
      <c r="X30" s="2" t="s">
        <v>314</v>
      </c>
      <c r="AB30" s="1" t="s">
        <v>322</v>
      </c>
      <c r="AC30" s="1" t="s">
        <v>323</v>
      </c>
    </row>
    <row r="31" spans="1:30" ht="28.5" x14ac:dyDescent="0.45">
      <c r="A31" s="1" t="s">
        <v>324</v>
      </c>
      <c r="B31" s="5" t="s">
        <v>325</v>
      </c>
      <c r="C31" s="5" t="s">
        <v>374</v>
      </c>
      <c r="D31" s="1" t="s">
        <v>326</v>
      </c>
      <c r="G31" s="1" t="s">
        <v>327</v>
      </c>
      <c r="H31" s="1" t="s">
        <v>103</v>
      </c>
      <c r="I31" s="48" t="s">
        <v>328</v>
      </c>
      <c r="J31" s="1" t="s">
        <v>329</v>
      </c>
      <c r="K31" s="1" t="s">
        <v>330</v>
      </c>
      <c r="L31" s="5" t="s">
        <v>328</v>
      </c>
      <c r="M31" s="4" t="s">
        <v>366</v>
      </c>
      <c r="N31" s="1" t="s">
        <v>327</v>
      </c>
      <c r="O31" s="1" t="s">
        <v>129</v>
      </c>
      <c r="P31" s="1" t="s">
        <v>331</v>
      </c>
      <c r="Q31" s="5" t="s">
        <v>365</v>
      </c>
      <c r="R31" s="5" t="s">
        <v>328</v>
      </c>
      <c r="S31" s="5" t="s">
        <v>367</v>
      </c>
      <c r="T31" s="5" t="s">
        <v>367</v>
      </c>
      <c r="U31" s="5" t="s">
        <v>43</v>
      </c>
      <c r="V31" s="5" t="s">
        <v>332</v>
      </c>
      <c r="X31" s="2" t="s">
        <v>314</v>
      </c>
      <c r="AB31" s="2">
        <v>45859</v>
      </c>
      <c r="AC31" s="1" t="s">
        <v>333</v>
      </c>
    </row>
    <row r="32" spans="1:30" ht="28.5" x14ac:dyDescent="0.45">
      <c r="A32" s="1" t="s">
        <v>368</v>
      </c>
      <c r="B32" s="5" t="s">
        <v>334</v>
      </c>
      <c r="C32" s="5" t="s">
        <v>369</v>
      </c>
      <c r="D32" s="1" t="s">
        <v>351</v>
      </c>
      <c r="G32" s="1" t="s">
        <v>335</v>
      </c>
      <c r="H32" s="1" t="s">
        <v>103</v>
      </c>
      <c r="I32" s="48" t="s">
        <v>336</v>
      </c>
      <c r="J32" s="1" t="s">
        <v>337</v>
      </c>
      <c r="K32" s="1" t="s">
        <v>370</v>
      </c>
      <c r="L32" s="5" t="s">
        <v>336</v>
      </c>
      <c r="M32" s="1" t="s">
        <v>338</v>
      </c>
      <c r="N32" s="1" t="s">
        <v>371</v>
      </c>
      <c r="O32" s="1" t="s">
        <v>129</v>
      </c>
      <c r="P32" s="2">
        <v>28077</v>
      </c>
      <c r="Q32" s="5" t="s">
        <v>372</v>
      </c>
      <c r="R32" s="5" t="s">
        <v>336</v>
      </c>
      <c r="S32" s="5" t="s">
        <v>367</v>
      </c>
      <c r="T32" s="5" t="s">
        <v>339</v>
      </c>
      <c r="U32" s="5" t="s">
        <v>43</v>
      </c>
      <c r="V32" s="20">
        <v>26735</v>
      </c>
      <c r="X32" s="2">
        <v>45916</v>
      </c>
      <c r="AB32" s="2">
        <v>45834</v>
      </c>
      <c r="AC32" s="1" t="s">
        <v>340</v>
      </c>
    </row>
    <row r="33" spans="1:29" ht="28.5" x14ac:dyDescent="0.45">
      <c r="A33" s="1" t="s">
        <v>341</v>
      </c>
      <c r="B33" s="5" t="s">
        <v>342</v>
      </c>
      <c r="C33" s="5" t="s">
        <v>373</v>
      </c>
      <c r="D33" s="1" t="s">
        <v>343</v>
      </c>
      <c r="G33" s="1" t="s">
        <v>344</v>
      </c>
      <c r="H33" s="1" t="s">
        <v>103</v>
      </c>
      <c r="I33" s="48" t="s">
        <v>345</v>
      </c>
      <c r="J33" s="1" t="s">
        <v>346</v>
      </c>
      <c r="K33" s="1" t="s">
        <v>347</v>
      </c>
      <c r="L33" s="5" t="s">
        <v>345</v>
      </c>
      <c r="M33" s="1" t="s">
        <v>348</v>
      </c>
      <c r="N33" s="1" t="s">
        <v>344</v>
      </c>
      <c r="O33" s="1" t="s">
        <v>129</v>
      </c>
      <c r="P33" s="2">
        <v>26596</v>
      </c>
      <c r="Q33" s="5" t="s">
        <v>349</v>
      </c>
      <c r="R33" s="5" t="s">
        <v>345</v>
      </c>
      <c r="S33" s="5" t="s">
        <v>367</v>
      </c>
      <c r="T33" s="5" t="s">
        <v>367</v>
      </c>
      <c r="U33" s="5" t="s">
        <v>43</v>
      </c>
      <c r="V33" s="20">
        <v>25830</v>
      </c>
      <c r="X33" s="2" t="s">
        <v>314</v>
      </c>
      <c r="AB33" s="2">
        <v>45869</v>
      </c>
      <c r="AC33" s="1" t="s">
        <v>350</v>
      </c>
    </row>
  </sheetData>
  <phoneticPr fontId="3" type="noConversion"/>
  <hyperlinks>
    <hyperlink ref="M2" r:id="rId1" xr:uid="{C1A20D2D-97A1-42AE-AEA3-A36E6F26D437}"/>
    <hyperlink ref="M3" r:id="rId2" xr:uid="{66BAAB7B-6FCD-4F05-B2E4-65690863232E}"/>
    <hyperlink ref="M4" r:id="rId3" xr:uid="{02A9C659-FD06-4520-BA0A-D818600F880C}"/>
    <hyperlink ref="M5" r:id="rId4" xr:uid="{1CBBB86E-FEF5-4711-8B37-4D3AE70B3D57}"/>
    <hyperlink ref="M6" r:id="rId5" xr:uid="{4DF765F9-1E33-404A-A387-94A6CFE75637}"/>
    <hyperlink ref="M8" r:id="rId6" display="kim@eudyepa.com" xr:uid="{D6C25A2D-04CA-4123-BB6B-935CD8BE8AD9}"/>
    <hyperlink ref="M9" r:id="rId7" xr:uid="{38268CC3-4C5D-4260-A755-CD1F8DDA9E74}"/>
    <hyperlink ref="M10" r:id="rId8" xr:uid="{15827253-70EA-4CE8-8970-E55BB87B1729}"/>
    <hyperlink ref="M11" r:id="rId9" xr:uid="{A0B91DC4-EE90-40CB-BCBC-70A1B74EC8E4}"/>
    <hyperlink ref="S13" r:id="rId10" xr:uid="{BC05EE38-8BE3-4A54-9CE2-BA51BEFDFE91}"/>
    <hyperlink ref="M13" r:id="rId11" xr:uid="{E5FA3F4A-F984-4D74-8209-36899515988A}"/>
    <hyperlink ref="M14" r:id="rId12" display="callkari@yahoo.com" xr:uid="{1C4E0720-ADCC-413F-9BD7-D7C992AE84CD}"/>
    <hyperlink ref="M15" r:id="rId13" xr:uid="{3E01FD8D-80CC-4B52-92EA-9B63173B1F2F}"/>
    <hyperlink ref="S15" r:id="rId14" xr:uid="{FE609646-6F25-41E9-801C-2A842CC7D9B9}"/>
    <hyperlink ref="M16" r:id="rId15" xr:uid="{F7612DD9-01D9-4277-88A2-4804BED4DEE2}"/>
    <hyperlink ref="S17" r:id="rId16" xr:uid="{5C0B7A1E-06E6-41E1-A140-A61F3455C527}"/>
    <hyperlink ref="S19" r:id="rId17" xr:uid="{C671F45C-5ABF-40F1-8046-AA36C92E9DA7}"/>
    <hyperlink ref="M12" r:id="rId18" xr:uid="{40F83945-938F-4E11-8690-D967533F45CC}"/>
    <hyperlink ref="Q12" r:id="rId19" xr:uid="{F0B0C51B-0CE0-4596-8250-A3ADFF2CD4F6}"/>
    <hyperlink ref="M7" r:id="rId20" xr:uid="{D821961A-3CCF-4875-A01C-8EECF718AC37}"/>
    <hyperlink ref="M20" r:id="rId21" xr:uid="{FB602DEF-B5D3-445B-842E-D90E49636FAE}"/>
    <hyperlink ref="M21" r:id="rId22" xr:uid="{F55B01FC-2611-4CC0-8D64-3BE8A4443640}"/>
    <hyperlink ref="S21" r:id="rId23" xr:uid="{593B4A3F-14FA-42B0-B890-B22D4573B47E}"/>
    <hyperlink ref="M22" r:id="rId24" xr:uid="{4BBE3688-52C3-45E6-87F1-E21C70F108B6}"/>
    <hyperlink ref="M23" r:id="rId25" xr:uid="{3C950AC3-C4FE-4C47-8E61-4550F3BD5C04}"/>
    <hyperlink ref="M24" r:id="rId26" xr:uid="{CC2C39E4-F24F-47E6-BB0A-817E8E83544D}"/>
    <hyperlink ref="S24" r:id="rId27" xr:uid="{7BE75A16-6700-4029-9964-66AE3CAA6C51}"/>
    <hyperlink ref="M25" r:id="rId28" xr:uid="{064277F3-5DB7-4740-AF20-543DF39D2907}"/>
    <hyperlink ref="S25" r:id="rId29" xr:uid="{6DFA0860-C1AD-4D72-808E-3DB728A1CC91}"/>
    <hyperlink ref="M26" r:id="rId30" xr:uid="{B295F3BE-0355-430A-A901-384B21537F63}"/>
    <hyperlink ref="S27" r:id="rId31" xr:uid="{733D12DA-199B-471F-8788-287DDF9C6FA6}"/>
    <hyperlink ref="M28" r:id="rId32" xr:uid="{26D8F772-D020-46CE-9469-0EEB34004E44}"/>
    <hyperlink ref="M30" r:id="rId33" xr:uid="{7FE36EBA-B474-46AD-8D96-552402E48231}"/>
    <hyperlink ref="M31" r:id="rId34" xr:uid="{B6BF9F65-CBBB-4ABF-A97F-FE456AD6220B}"/>
  </hyperlinks>
  <pageMargins left="0.25" right="0.25" top="0.75" bottom="0.75" header="0.3" footer="0.3"/>
  <pageSetup orientation="landscape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9DAB-A515-486F-9D96-78239A2E1B15}">
  <dimension ref="A1:L251"/>
  <sheetViews>
    <sheetView topLeftCell="C1" workbookViewId="0">
      <pane ySplit="1" topLeftCell="A2" activePane="bottomLeft" state="frozen"/>
      <selection pane="bottomLeft" sqref="A1:E1"/>
    </sheetView>
  </sheetViews>
  <sheetFormatPr defaultColWidth="9.1328125" defaultRowHeight="14.25" x14ac:dyDescent="0.45"/>
  <cols>
    <col min="1" max="1" width="11.86328125" style="21" customWidth="1"/>
    <col min="2" max="2" width="16.46484375" style="22" customWidth="1"/>
    <col min="3" max="3" width="11.796875" style="22" customWidth="1"/>
    <col min="4" max="4" width="12.1328125" style="22" customWidth="1"/>
    <col min="5" max="16384" width="9.1328125" style="21"/>
  </cols>
  <sheetData>
    <row r="1" spans="1:10" x14ac:dyDescent="0.45">
      <c r="A1" s="21" t="s">
        <v>72</v>
      </c>
      <c r="B1" s="22" t="s">
        <v>113</v>
      </c>
      <c r="C1" s="22" t="s">
        <v>73</v>
      </c>
      <c r="D1" s="22" t="s">
        <v>114</v>
      </c>
      <c r="G1" s="21" t="s">
        <v>115</v>
      </c>
      <c r="I1" s="21" t="s">
        <v>116</v>
      </c>
    </row>
    <row r="2" spans="1:10" x14ac:dyDescent="0.45">
      <c r="A2" s="21" t="str">
        <f>Sheet1!D2</f>
        <v>21-001411</v>
      </c>
      <c r="B2" s="22">
        <f>Sheet1!X2</f>
        <v>45875</v>
      </c>
      <c r="C2" s="22">
        <f>Sheet1!E2</f>
        <v>45883</v>
      </c>
      <c r="D2" s="22">
        <f>Sheet1!W2</f>
        <v>45883</v>
      </c>
      <c r="G2" s="23" t="str">
        <f>HYPERLINK("https://www.google.com/maps/dir//''/data=!4m7?q="&amp;J2,"Get Directions")</f>
        <v>Get Directions</v>
      </c>
      <c r="I2" s="21" t="str">
        <f>Sheet1!A2</f>
        <v>Wagner</v>
      </c>
      <c r="J2" s="21" t="str">
        <f>Sheet1!B2</f>
        <v xml:space="preserve"> John Carter</v>
      </c>
    </row>
    <row r="3" spans="1:10" x14ac:dyDescent="0.45">
      <c r="A3" s="21" t="str">
        <f>Sheet1!D3</f>
        <v>17-000729</v>
      </c>
      <c r="B3" s="22">
        <f>Sheet1!X3</f>
        <v>45875</v>
      </c>
      <c r="C3" s="22">
        <f>Sheet1!E3</f>
        <v>45883</v>
      </c>
      <c r="D3" s="22">
        <f>Sheet1!W3</f>
        <v>45885</v>
      </c>
      <c r="G3" s="23" t="str">
        <f t="shared" ref="G3:G59" si="0">HYPERLINK("https://www.google.com/maps/dir/Current+Location/"&amp;J3,"Get Directions")</f>
        <v>Get Directions</v>
      </c>
      <c r="I3" s="21" t="str">
        <f>Sheet1!A3</f>
        <v>Dennis</v>
      </c>
      <c r="J3" s="21" t="str">
        <f>Sheet1!B3</f>
        <v>Abigail</v>
      </c>
    </row>
    <row r="4" spans="1:10" x14ac:dyDescent="0.45">
      <c r="A4" s="21" t="str">
        <f>Sheet1!D4</f>
        <v>22-001301</v>
      </c>
      <c r="B4" s="22">
        <f>Sheet1!X4</f>
        <v>45875</v>
      </c>
      <c r="C4" s="22">
        <f>Sheet1!E4</f>
        <v>45877</v>
      </c>
      <c r="D4" s="22">
        <f>Sheet1!W4</f>
        <v>45877</v>
      </c>
      <c r="G4" s="23" t="str">
        <f t="shared" si="0"/>
        <v>Get Directions</v>
      </c>
      <c r="I4" s="21" t="str">
        <f>Sheet1!A4</f>
        <v>Halford</v>
      </c>
      <c r="J4" s="21" t="str">
        <f>Sheet1!B4</f>
        <v xml:space="preserve"> Jon Tyler</v>
      </c>
    </row>
    <row r="5" spans="1:10" x14ac:dyDescent="0.45">
      <c r="A5" s="21" t="str">
        <f>Sheet1!D5</f>
        <v>22-002249</v>
      </c>
      <c r="B5" s="22">
        <f>Sheet1!X5</f>
        <v>45875</v>
      </c>
      <c r="C5" s="22">
        <f>Sheet1!E5</f>
        <v>45882</v>
      </c>
      <c r="D5" s="22">
        <f>Sheet1!W5</f>
        <v>45882</v>
      </c>
      <c r="G5" s="23" t="str">
        <f t="shared" si="0"/>
        <v>Get Directions</v>
      </c>
      <c r="I5" s="21" t="str">
        <f>Sheet1!A5</f>
        <v>Braden</v>
      </c>
      <c r="J5" s="21" t="str">
        <f>Sheet1!B5</f>
        <v xml:space="preserve"> Daniel</v>
      </c>
    </row>
    <row r="6" spans="1:10" x14ac:dyDescent="0.45">
      <c r="A6" s="21" t="str">
        <f>Sheet1!D6</f>
        <v>16-000206</v>
      </c>
      <c r="B6" s="22">
        <f>Sheet1!X6</f>
        <v>45876</v>
      </c>
      <c r="C6" s="22">
        <f>Sheet1!E6</f>
        <v>45882</v>
      </c>
      <c r="D6" s="22">
        <f>Sheet1!W6</f>
        <v>45883</v>
      </c>
      <c r="G6" s="23" t="str">
        <f t="shared" si="0"/>
        <v>Get Directions</v>
      </c>
      <c r="I6" s="21" t="str">
        <f>Sheet1!A6</f>
        <v>Conner</v>
      </c>
      <c r="J6" s="21" t="str">
        <f>Sheet1!B6</f>
        <v xml:space="preserve"> Julian Mayerik</v>
      </c>
    </row>
    <row r="7" spans="1:10" x14ac:dyDescent="0.45">
      <c r="A7" s="21" t="str">
        <f>Sheet1!D7</f>
        <v>14-002049</v>
      </c>
      <c r="B7" s="22">
        <f>Sheet1!X7</f>
        <v>45881</v>
      </c>
      <c r="C7" s="22">
        <f>Sheet1!E7</f>
        <v>45892</v>
      </c>
      <c r="D7" s="22">
        <f>Sheet1!W7</f>
        <v>45892</v>
      </c>
      <c r="G7" s="23" t="str">
        <f t="shared" si="0"/>
        <v>Get Directions</v>
      </c>
      <c r="I7" s="21" t="str">
        <f>Sheet1!A7</f>
        <v>De Jong</v>
      </c>
      <c r="J7" s="21" t="str">
        <f>Sheet1!B7</f>
        <v>Brendan James</v>
      </c>
    </row>
    <row r="8" spans="1:10" x14ac:dyDescent="0.45">
      <c r="A8" s="21" t="str">
        <f>Sheet1!D8</f>
        <v>06-084450</v>
      </c>
      <c r="B8" s="22">
        <f>Sheet1!X8</f>
        <v>45881</v>
      </c>
      <c r="C8" s="22">
        <f>Sheet1!E8</f>
        <v>45884</v>
      </c>
      <c r="D8" s="22">
        <f>Sheet1!W8</f>
        <v>45886</v>
      </c>
      <c r="G8" s="23" t="str">
        <f t="shared" si="0"/>
        <v>Get Directions</v>
      </c>
      <c r="I8" s="21" t="str">
        <f>Sheet1!A8</f>
        <v>Eudy</v>
      </c>
      <c r="J8" s="21" t="str">
        <f>Sheet1!B8</f>
        <v>Kimberly Grace</v>
      </c>
    </row>
    <row r="9" spans="1:10" x14ac:dyDescent="0.45">
      <c r="A9" s="21" t="str">
        <f>Sheet1!D9</f>
        <v>20-001710</v>
      </c>
      <c r="B9" s="22">
        <f>Sheet1!X9</f>
        <v>45881</v>
      </c>
      <c r="C9" s="22">
        <f>Sheet1!E9</f>
        <v>45884</v>
      </c>
      <c r="D9" s="22">
        <f>Sheet1!W9</f>
        <v>45886</v>
      </c>
      <c r="G9" s="23" t="str">
        <f t="shared" si="0"/>
        <v>Get Directions</v>
      </c>
      <c r="I9" s="21" t="str">
        <f>Sheet1!A9</f>
        <v>Jones</v>
      </c>
      <c r="J9" s="21" t="str">
        <f>Sheet1!B9</f>
        <v>Andrew Colton</v>
      </c>
    </row>
    <row r="10" spans="1:10" x14ac:dyDescent="0.45">
      <c r="A10" s="21" t="str">
        <f>Sheet1!D10</f>
        <v>18-001798</v>
      </c>
      <c r="B10" s="22">
        <f>Sheet1!X10</f>
        <v>45881</v>
      </c>
      <c r="C10" s="22">
        <f>Sheet1!E10</f>
        <v>45884</v>
      </c>
      <c r="D10" s="22">
        <f>Sheet1!W10</f>
        <v>45886</v>
      </c>
      <c r="G10" s="23" t="str">
        <f t="shared" si="0"/>
        <v>Get Directions</v>
      </c>
      <c r="I10" s="21" t="str">
        <f>Sheet1!A10</f>
        <v>Park</v>
      </c>
      <c r="J10" s="21" t="str">
        <f>Sheet1!B10</f>
        <v>Mina</v>
      </c>
    </row>
    <row r="11" spans="1:10" x14ac:dyDescent="0.45">
      <c r="A11" s="21" t="str">
        <f>Sheet1!D11</f>
        <v>19-000060</v>
      </c>
      <c r="B11" s="22">
        <f>Sheet1!X11</f>
        <v>45881</v>
      </c>
      <c r="C11" s="22">
        <f>Sheet1!E11</f>
        <v>45884</v>
      </c>
      <c r="D11" s="22">
        <f>Sheet1!W11</f>
        <v>45885</v>
      </c>
      <c r="G11" s="23" t="str">
        <f t="shared" si="0"/>
        <v>Get Directions</v>
      </c>
      <c r="I11" s="21" t="str">
        <f>Sheet1!A11</f>
        <v>Bennett</v>
      </c>
      <c r="J11" s="21" t="str">
        <f>Sheet1!B11</f>
        <v xml:space="preserve"> Luke Thomas</v>
      </c>
    </row>
    <row r="12" spans="1:10" x14ac:dyDescent="0.45">
      <c r="A12" s="21" t="str">
        <f>Sheet1!D12</f>
        <v>15-002046</v>
      </c>
      <c r="B12" s="22">
        <f>Sheet1!X12</f>
        <v>45888</v>
      </c>
      <c r="C12" s="22">
        <f>Sheet1!E12</f>
        <v>45896</v>
      </c>
      <c r="D12" s="22">
        <f>Sheet1!W12</f>
        <v>45896</v>
      </c>
      <c r="G12" s="23" t="str">
        <f t="shared" si="0"/>
        <v>Get Directions</v>
      </c>
      <c r="I12" s="21" t="str">
        <f>Sheet1!A12</f>
        <v>Davidson</v>
      </c>
      <c r="J12" s="21" t="str">
        <f>Sheet1!B12</f>
        <v>Anthony Michael</v>
      </c>
    </row>
    <row r="13" spans="1:10" x14ac:dyDescent="0.45">
      <c r="A13" s="21" t="str">
        <f>Sheet1!D13</f>
        <v>12-000189</v>
      </c>
      <c r="B13" s="22">
        <f>Sheet1!X13</f>
        <v>45888</v>
      </c>
      <c r="C13" s="22">
        <f>Sheet1!E13</f>
        <v>0</v>
      </c>
      <c r="D13" s="22">
        <f>Sheet1!W13</f>
        <v>0</v>
      </c>
      <c r="G13" s="23" t="str">
        <f t="shared" si="0"/>
        <v>Get Directions</v>
      </c>
      <c r="I13" s="21" t="str">
        <f>Sheet1!A13</f>
        <v>Dodson</v>
      </c>
      <c r="J13" s="21" t="str">
        <f>Sheet1!B13</f>
        <v>Michael Todd</v>
      </c>
    </row>
    <row r="14" spans="1:10" x14ac:dyDescent="0.45">
      <c r="A14" s="21" t="str">
        <f>Sheet1!D14</f>
        <v>08-088136</v>
      </c>
      <c r="B14" s="22">
        <f>Sheet1!X14</f>
        <v>45888</v>
      </c>
      <c r="C14" s="22">
        <f>Sheet1!E14</f>
        <v>45896</v>
      </c>
      <c r="D14" s="22">
        <f>Sheet1!W14</f>
        <v>45896</v>
      </c>
      <c r="G14" s="23" t="str">
        <f t="shared" si="0"/>
        <v>Get Directions</v>
      </c>
      <c r="I14" s="21" t="str">
        <f>Sheet1!A14</f>
        <v>Hall</v>
      </c>
      <c r="J14" s="21" t="str">
        <f>Sheet1!B14</f>
        <v>Alexandra</v>
      </c>
    </row>
    <row r="15" spans="1:10" x14ac:dyDescent="0.45">
      <c r="A15" s="21" t="str">
        <f>Sheet1!D15</f>
        <v>24-001242</v>
      </c>
      <c r="B15" s="22">
        <f>Sheet1!X15</f>
        <v>45888</v>
      </c>
      <c r="C15" s="22">
        <f>Sheet1!E15</f>
        <v>45896</v>
      </c>
      <c r="D15" s="22">
        <f>Sheet1!W15</f>
        <v>45896</v>
      </c>
      <c r="G15" s="23" t="str">
        <f t="shared" si="0"/>
        <v>Get Directions</v>
      </c>
      <c r="I15" s="21" t="str">
        <f>Sheet1!A15</f>
        <v>Jain</v>
      </c>
      <c r="J15" s="21" t="str">
        <f>Sheet1!B15</f>
        <v>Ryan</v>
      </c>
    </row>
    <row r="16" spans="1:10" x14ac:dyDescent="0.45">
      <c r="A16" s="21" t="str">
        <f>Sheet1!D16</f>
        <v>09-000016</v>
      </c>
      <c r="B16" s="22">
        <f>Sheet1!X16</f>
        <v>45888</v>
      </c>
      <c r="C16" s="22">
        <f>Sheet1!E16</f>
        <v>45897</v>
      </c>
      <c r="D16" s="22">
        <v>45897</v>
      </c>
      <c r="G16" s="23" t="str">
        <f t="shared" si="0"/>
        <v>Get Directions</v>
      </c>
      <c r="I16" s="21" t="str">
        <f>Sheet1!A16</f>
        <v>Loy</v>
      </c>
      <c r="J16" s="21" t="str">
        <f>Sheet1!B16</f>
        <v>Mary K.</v>
      </c>
    </row>
    <row r="17" spans="1:12" x14ac:dyDescent="0.45">
      <c r="A17" s="21" t="str">
        <f>Sheet1!D17</f>
        <v>22-000706</v>
      </c>
      <c r="B17" s="22">
        <f>Sheet1!X17</f>
        <v>45888</v>
      </c>
      <c r="C17" s="22">
        <f>Sheet1!E17</f>
        <v>45896</v>
      </c>
      <c r="D17" s="22">
        <f>Sheet1!W17</f>
        <v>45896</v>
      </c>
      <c r="G17" s="23" t="str">
        <f t="shared" si="0"/>
        <v>Get Directions</v>
      </c>
      <c r="I17" s="21" t="str">
        <f>Sheet1!A17</f>
        <v>Taylor</v>
      </c>
      <c r="J17" s="21" t="str">
        <f>Sheet1!B17</f>
        <v>Ryan Matthew</v>
      </c>
    </row>
    <row r="18" spans="1:12" x14ac:dyDescent="0.45">
      <c r="A18" s="21" t="str">
        <f>Sheet1!D18</f>
        <v>00-074302</v>
      </c>
      <c r="B18" s="22">
        <f>Sheet1!X18</f>
        <v>45888</v>
      </c>
      <c r="C18" s="22">
        <f>Sheet1!E18</f>
        <v>45896</v>
      </c>
      <c r="D18" s="22">
        <f>Sheet1!W18</f>
        <v>45896</v>
      </c>
      <c r="G18" s="23" t="str">
        <f>HYPERLINK("https://www.google.com/maps/dir/Current+Location/"&amp;I18,"Get Directions")</f>
        <v>Get Directions</v>
      </c>
      <c r="I18" s="21" t="str">
        <f>Sheet1!A18</f>
        <v>Turnbaugh</v>
      </c>
      <c r="J18" s="21" t="str">
        <f>Sheet1!B18</f>
        <v>Elizabeth</v>
      </c>
    </row>
    <row r="19" spans="1:12" x14ac:dyDescent="0.45">
      <c r="A19" s="21" t="str">
        <f>Sheet1!D19</f>
        <v>23-000357</v>
      </c>
      <c r="B19" s="22">
        <f>Sheet1!X19</f>
        <v>45888</v>
      </c>
      <c r="C19" s="22">
        <f>Sheet1!E19</f>
        <v>45897</v>
      </c>
      <c r="D19" s="22">
        <v>45897</v>
      </c>
      <c r="G19" s="23" t="str">
        <f t="shared" si="0"/>
        <v>Get Directions</v>
      </c>
      <c r="I19" s="21" t="str">
        <f>Sheet1!A19</f>
        <v>Warren</v>
      </c>
      <c r="J19" s="21" t="str">
        <f>Sheet1!B19</f>
        <v>David Patrick</v>
      </c>
    </row>
    <row r="20" spans="1:12" x14ac:dyDescent="0.45">
      <c r="A20" s="21" t="str">
        <f>Sheet1!D21</f>
        <v>06-085777</v>
      </c>
      <c r="B20" s="22" t="str">
        <f>Sheet1!X20</f>
        <v>t</v>
      </c>
      <c r="C20" s="22">
        <f>Sheet1!E20</f>
        <v>45903</v>
      </c>
      <c r="D20" s="22">
        <f>Sheet1!W20</f>
        <v>45904</v>
      </c>
      <c r="G20" s="23" t="str">
        <f t="shared" si="0"/>
        <v>Get Directions</v>
      </c>
      <c r="I20" s="21" t="str">
        <f>Sheet1!A20</f>
        <v>Luna</v>
      </c>
      <c r="J20" s="21" t="str">
        <f>Sheet1!B20</f>
        <v>Oscar</v>
      </c>
      <c r="L20" s="26" t="s">
        <v>198</v>
      </c>
    </row>
    <row r="21" spans="1:12" x14ac:dyDescent="0.45">
      <c r="A21" s="21" t="str">
        <f>Sheet1!D22</f>
        <v>09-001594</v>
      </c>
      <c r="B21" s="22">
        <f>Sheet1!X21</f>
        <v>45896</v>
      </c>
      <c r="C21" s="22">
        <f>Sheet1!E21</f>
        <v>45905</v>
      </c>
      <c r="D21" s="22">
        <f>Sheet1!W21</f>
        <v>45908</v>
      </c>
      <c r="G21" s="23"/>
      <c r="I21" s="21" t="str">
        <f>Sheet1!A21</f>
        <v>Brener</v>
      </c>
      <c r="J21" s="21" t="str">
        <f>Sheet1!B21</f>
        <v>Benjamin</v>
      </c>
      <c r="L21" s="26" t="s">
        <v>205</v>
      </c>
    </row>
    <row r="22" spans="1:12" x14ac:dyDescent="0.45">
      <c r="A22" s="21" t="str">
        <f>Sheet1!D22</f>
        <v>09-001594</v>
      </c>
      <c r="B22" s="22">
        <f>Sheet1!X22</f>
        <v>45897</v>
      </c>
      <c r="C22" s="22">
        <f>Sheet1!E22</f>
        <v>45905</v>
      </c>
      <c r="D22" s="22">
        <f>Sheet1!W22</f>
        <v>45908</v>
      </c>
      <c r="G22" s="23" t="str">
        <f t="shared" si="0"/>
        <v>Get Directions</v>
      </c>
      <c r="I22" s="21" t="str">
        <f>Sheet1!A22</f>
        <v>Potter</v>
      </c>
      <c r="J22" s="21" t="str">
        <f>Sheet1!B22</f>
        <v>Mark</v>
      </c>
      <c r="L22" s="1" t="s">
        <v>222</v>
      </c>
    </row>
    <row r="23" spans="1:12" x14ac:dyDescent="0.45">
      <c r="A23" s="21" t="str">
        <f>Sheet1!D23</f>
        <v>14-000172</v>
      </c>
      <c r="B23" s="22">
        <f>Sheet1!X23</f>
        <v>45897</v>
      </c>
      <c r="C23" s="22">
        <f>Sheet1!E23</f>
        <v>45908</v>
      </c>
      <c r="D23" s="22">
        <f>Sheet1!W23</f>
        <v>45908</v>
      </c>
      <c r="G23" s="23" t="str">
        <f t="shared" si="0"/>
        <v>Get Directions</v>
      </c>
      <c r="I23" s="21" t="str">
        <f>Sheet1!A23</f>
        <v>Reich</v>
      </c>
      <c r="J23" s="21" t="str">
        <f>Sheet1!B23</f>
        <v>Quinn</v>
      </c>
      <c r="L23" s="1" t="s">
        <v>233</v>
      </c>
    </row>
    <row r="24" spans="1:12" x14ac:dyDescent="0.45">
      <c r="A24" s="21" t="str">
        <f>Sheet1!D24</f>
        <v>15-000428</v>
      </c>
      <c r="B24" s="22">
        <f>Sheet1!X24</f>
        <v>45897</v>
      </c>
      <c r="C24" s="22">
        <f>Sheet1!E24</f>
        <v>45904</v>
      </c>
      <c r="D24" s="22">
        <f>Sheet1!W24</f>
        <v>45904</v>
      </c>
      <c r="G24" s="23" t="str">
        <f t="shared" si="0"/>
        <v>Get Directions</v>
      </c>
      <c r="I24" s="21" t="str">
        <f>Sheet1!A24</f>
        <v>Cox</v>
      </c>
      <c r="J24" s="21" t="str">
        <f>Sheet1!B24</f>
        <v>Ty</v>
      </c>
      <c r="L24" s="26" t="s">
        <v>246</v>
      </c>
    </row>
    <row r="25" spans="1:12" x14ac:dyDescent="0.45">
      <c r="A25" s="21" t="str">
        <f>Sheet1!D25</f>
        <v>17-000201</v>
      </c>
      <c r="B25" s="22">
        <f>Sheet1!X25</f>
        <v>45896</v>
      </c>
      <c r="C25" s="22">
        <f>Sheet1!E25</f>
        <v>45904</v>
      </c>
      <c r="D25" s="22">
        <f>Sheet1!W25</f>
        <v>45904</v>
      </c>
      <c r="G25" s="23" t="str">
        <f t="shared" si="0"/>
        <v>Get Directions</v>
      </c>
      <c r="I25" s="21" t="str">
        <f>Sheet1!A25</f>
        <v>Roberts</v>
      </c>
      <c r="J25" s="21" t="str">
        <f>Sheet1!B25</f>
        <v>Jay</v>
      </c>
      <c r="L25" s="26" t="s">
        <v>258</v>
      </c>
    </row>
    <row r="26" spans="1:12" x14ac:dyDescent="0.45">
      <c r="A26" s="21" t="str">
        <f>Sheet1!D26</f>
        <v>18-000194</v>
      </c>
      <c r="B26" s="22">
        <f>Sheet1!X26</f>
        <v>45897</v>
      </c>
      <c r="C26" s="22">
        <f>Sheet1!E26</f>
        <v>45903</v>
      </c>
      <c r="D26" s="22">
        <f>Sheet1!W26</f>
        <v>45904</v>
      </c>
      <c r="G26" s="23" t="str">
        <f t="shared" si="0"/>
        <v>Get Directions</v>
      </c>
      <c r="I26" s="21" t="str">
        <f>Sheet1!A26</f>
        <v>Toney</v>
      </c>
      <c r="J26" s="21" t="str">
        <f>Sheet1!B26</f>
        <v>Emma</v>
      </c>
      <c r="L26" s="26" t="s">
        <v>269</v>
      </c>
    </row>
    <row r="27" spans="1:12" x14ac:dyDescent="0.45">
      <c r="A27" s="21" t="str">
        <f>Sheet1!D27</f>
        <v>19-002069</v>
      </c>
      <c r="B27" s="22">
        <f>Sheet1!X27</f>
        <v>45896</v>
      </c>
      <c r="C27" s="22">
        <f>Sheet1!E27</f>
        <v>45904</v>
      </c>
      <c r="D27" s="22">
        <f>Sheet1!W27</f>
        <v>45908</v>
      </c>
      <c r="G27" s="23" t="str">
        <f t="shared" si="0"/>
        <v>Get Directions</v>
      </c>
      <c r="I27" s="21" t="str">
        <f>Sheet1!A27</f>
        <v>Huerta</v>
      </c>
      <c r="J27" s="21" t="str">
        <f>Sheet1!B27</f>
        <v>Gabriela</v>
      </c>
      <c r="L27" s="1" t="s">
        <v>277</v>
      </c>
    </row>
    <row r="28" spans="1:12" x14ac:dyDescent="0.45">
      <c r="A28" s="21" t="str">
        <f>Sheet1!D28</f>
        <v>99-071988</v>
      </c>
      <c r="B28" s="22">
        <f>Sheet1!X28</f>
        <v>45897</v>
      </c>
      <c r="C28" s="22">
        <f>Sheet1!E28</f>
        <v>45905</v>
      </c>
      <c r="D28" s="22">
        <f>Sheet1!W28</f>
        <v>45908</v>
      </c>
      <c r="G28" s="23" t="str">
        <f t="shared" si="0"/>
        <v>Get Directions</v>
      </c>
      <c r="I28" s="21" t="str">
        <f>Sheet1!A28</f>
        <v>Ximenez</v>
      </c>
      <c r="J28" s="21" t="str">
        <f>Sheet1!B28</f>
        <v>Jose</v>
      </c>
      <c r="L28" s="1" t="s">
        <v>285</v>
      </c>
    </row>
    <row r="29" spans="1:12" x14ac:dyDescent="0.45">
      <c r="A29" s="21" t="str">
        <f>Sheet1!D29</f>
        <v>05-082943</v>
      </c>
      <c r="B29" s="22" t="str">
        <f>Sheet1!X29</f>
        <v>09/16/2025</v>
      </c>
      <c r="C29" s="22">
        <f>Sheet1!E29</f>
        <v>0</v>
      </c>
      <c r="D29" s="22">
        <f>Sheet1!W29</f>
        <v>0</v>
      </c>
      <c r="G29" s="23" t="str">
        <f t="shared" si="0"/>
        <v>Get Directions</v>
      </c>
      <c r="I29" s="21" t="str">
        <f>Sheet1!A29</f>
        <v>Wolk</v>
      </c>
      <c r="J29" s="21" t="str">
        <f>Sheet1!B29</f>
        <v>James</v>
      </c>
    </row>
    <row r="30" spans="1:12" x14ac:dyDescent="0.45">
      <c r="A30" s="21" t="str">
        <f>Sheet1!D30</f>
        <v>13-000934</v>
      </c>
      <c r="B30" s="22" t="str">
        <f>Sheet1!X30</f>
        <v>09/16/2025</v>
      </c>
      <c r="C30" s="22">
        <f>Sheet1!E30</f>
        <v>0</v>
      </c>
      <c r="D30" s="22">
        <f>Sheet1!W30</f>
        <v>0</v>
      </c>
      <c r="G30" s="23" t="str">
        <f t="shared" si="0"/>
        <v>Get Directions</v>
      </c>
      <c r="I30" s="21" t="str">
        <f>Sheet1!A30</f>
        <v>Jimmerson</v>
      </c>
      <c r="J30" s="21" t="str">
        <f>Sheet1!B30</f>
        <v>Abby</v>
      </c>
    </row>
    <row r="31" spans="1:12" x14ac:dyDescent="0.45">
      <c r="A31" s="21" t="str">
        <f>Sheet1!D31</f>
        <v>19-000694</v>
      </c>
      <c r="B31" s="22" t="str">
        <f>Sheet1!X31</f>
        <v>09/16/2025</v>
      </c>
      <c r="C31" s="22">
        <f>Sheet1!E31</f>
        <v>0</v>
      </c>
      <c r="D31" s="22">
        <f>Sheet1!W31</f>
        <v>0</v>
      </c>
      <c r="G31" s="23" t="str">
        <f t="shared" si="0"/>
        <v>Get Directions</v>
      </c>
      <c r="I31" s="21" t="str">
        <f>Sheet1!A31</f>
        <v>Cagle</v>
      </c>
      <c r="J31" s="21" t="str">
        <f>Sheet1!B31</f>
        <v>Sara</v>
      </c>
    </row>
    <row r="32" spans="1:12" x14ac:dyDescent="0.45">
      <c r="A32" s="21" t="str">
        <f>Sheet1!D32</f>
        <v>21-000066</v>
      </c>
      <c r="B32" s="22">
        <f>Sheet1!X32</f>
        <v>45916</v>
      </c>
      <c r="C32" s="22">
        <f>Sheet1!E32</f>
        <v>0</v>
      </c>
      <c r="D32" s="22">
        <f>Sheet1!W32</f>
        <v>0</v>
      </c>
      <c r="G32" s="23" t="str">
        <f t="shared" si="0"/>
        <v>Get Directions</v>
      </c>
      <c r="I32" s="21" t="str">
        <f>Sheet1!A32</f>
        <v>Mogonye</v>
      </c>
      <c r="J32" s="21" t="str">
        <f>Sheet1!B32</f>
        <v>Mason</v>
      </c>
    </row>
    <row r="33" spans="1:10" x14ac:dyDescent="0.45">
      <c r="A33" s="21" t="str">
        <f>Sheet1!D33</f>
        <v>22-002744</v>
      </c>
      <c r="B33" s="22" t="str">
        <f>Sheet1!X33</f>
        <v>09/16/2025</v>
      </c>
      <c r="C33" s="22">
        <f>Sheet1!E33</f>
        <v>0</v>
      </c>
      <c r="D33" s="22">
        <f>Sheet1!W33</f>
        <v>0</v>
      </c>
      <c r="G33" s="23" t="str">
        <f t="shared" si="0"/>
        <v>Get Directions</v>
      </c>
      <c r="I33" s="21" t="str">
        <f>Sheet1!A33</f>
        <v>Zarola</v>
      </c>
      <c r="J33" s="21" t="str">
        <f>Sheet1!B33</f>
        <v>Aidan</v>
      </c>
    </row>
    <row r="34" spans="1:10" x14ac:dyDescent="0.45">
      <c r="A34" s="21">
        <f>Sheet1!D34</f>
        <v>0</v>
      </c>
      <c r="B34" s="22">
        <f>Sheet1!X34</f>
        <v>0</v>
      </c>
      <c r="C34" s="22">
        <f>Sheet1!E34</f>
        <v>0</v>
      </c>
      <c r="D34" s="22">
        <f>Sheet1!W34</f>
        <v>0</v>
      </c>
      <c r="G34" s="23" t="str">
        <f t="shared" si="0"/>
        <v>Get Directions</v>
      </c>
      <c r="I34" s="21">
        <f>Sheet1!A34</f>
        <v>0</v>
      </c>
      <c r="J34" s="21">
        <f>Sheet1!B34</f>
        <v>0</v>
      </c>
    </row>
    <row r="35" spans="1:10" x14ac:dyDescent="0.45">
      <c r="A35" s="21">
        <f>Sheet1!D35</f>
        <v>0</v>
      </c>
      <c r="B35" s="22">
        <f>Sheet1!X35</f>
        <v>0</v>
      </c>
      <c r="C35" s="22">
        <f>Sheet1!E35</f>
        <v>0</v>
      </c>
      <c r="D35" s="22">
        <f>Sheet1!W35</f>
        <v>0</v>
      </c>
      <c r="G35" s="23" t="str">
        <f t="shared" si="0"/>
        <v>Get Directions</v>
      </c>
      <c r="I35" s="21">
        <f>Sheet1!A35</f>
        <v>0</v>
      </c>
      <c r="J35" s="21">
        <f>Sheet1!B35</f>
        <v>0</v>
      </c>
    </row>
    <row r="36" spans="1:10" x14ac:dyDescent="0.45">
      <c r="A36" s="21">
        <f>Sheet1!D36</f>
        <v>0</v>
      </c>
      <c r="B36" s="22">
        <f>Sheet1!X36</f>
        <v>0</v>
      </c>
      <c r="D36" s="22">
        <f>Sheet1!W36</f>
        <v>0</v>
      </c>
      <c r="G36" s="23" t="str">
        <f t="shared" si="0"/>
        <v>Get Directions</v>
      </c>
      <c r="I36" s="21">
        <f>Sheet1!A36</f>
        <v>0</v>
      </c>
      <c r="J36" s="21">
        <f>Sheet1!B36</f>
        <v>0</v>
      </c>
    </row>
    <row r="37" spans="1:10" x14ac:dyDescent="0.45">
      <c r="A37" s="21">
        <f>Sheet1!D37</f>
        <v>0</v>
      </c>
      <c r="B37" s="22">
        <f>Sheet1!X37</f>
        <v>0</v>
      </c>
      <c r="D37" s="22">
        <f>Sheet1!W37</f>
        <v>0</v>
      </c>
      <c r="G37" s="23" t="str">
        <f t="shared" si="0"/>
        <v>Get Directions</v>
      </c>
      <c r="I37" s="21">
        <f>Sheet1!A37</f>
        <v>0</v>
      </c>
      <c r="J37" s="21">
        <f>Sheet1!B37</f>
        <v>0</v>
      </c>
    </row>
    <row r="38" spans="1:10" x14ac:dyDescent="0.45">
      <c r="A38" s="21">
        <f>Sheet1!D38</f>
        <v>0</v>
      </c>
      <c r="B38" s="22">
        <f>Sheet1!X38</f>
        <v>0</v>
      </c>
      <c r="D38" s="22">
        <f>Sheet1!W38</f>
        <v>0</v>
      </c>
      <c r="G38" s="23" t="str">
        <f t="shared" si="0"/>
        <v>Get Directions</v>
      </c>
      <c r="I38" s="21">
        <f>Sheet1!A38</f>
        <v>0</v>
      </c>
      <c r="J38" s="21">
        <f>Sheet1!B38</f>
        <v>0</v>
      </c>
    </row>
    <row r="39" spans="1:10" x14ac:dyDescent="0.45">
      <c r="A39" s="21">
        <f>Sheet1!D39</f>
        <v>0</v>
      </c>
      <c r="B39" s="22">
        <f>Sheet1!X39</f>
        <v>0</v>
      </c>
      <c r="D39" s="22">
        <f>Sheet1!W39</f>
        <v>0</v>
      </c>
      <c r="G39" s="23" t="str">
        <f t="shared" si="0"/>
        <v>Get Directions</v>
      </c>
      <c r="I39" s="21">
        <f>Sheet1!A39</f>
        <v>0</v>
      </c>
      <c r="J39" s="21">
        <f>Sheet1!B39</f>
        <v>0</v>
      </c>
    </row>
    <row r="40" spans="1:10" x14ac:dyDescent="0.45">
      <c r="A40" s="21">
        <f>Sheet1!D40</f>
        <v>0</v>
      </c>
      <c r="B40" s="22">
        <f>Sheet1!X40</f>
        <v>0</v>
      </c>
      <c r="D40" s="22">
        <f>Sheet1!W40</f>
        <v>0</v>
      </c>
      <c r="G40" s="23" t="str">
        <f t="shared" si="0"/>
        <v>Get Directions</v>
      </c>
      <c r="I40" s="21">
        <f>Sheet1!A40</f>
        <v>0</v>
      </c>
      <c r="J40" s="21">
        <f>Sheet1!B40</f>
        <v>0</v>
      </c>
    </row>
    <row r="41" spans="1:10" x14ac:dyDescent="0.45">
      <c r="B41" s="22">
        <f>Sheet1!X41</f>
        <v>0</v>
      </c>
      <c r="D41" s="22">
        <f>Sheet1!W41</f>
        <v>0</v>
      </c>
      <c r="G41" s="23" t="str">
        <f t="shared" si="0"/>
        <v>Get Directions</v>
      </c>
      <c r="I41" s="21">
        <f>Sheet1!A41</f>
        <v>0</v>
      </c>
      <c r="J41" s="21">
        <f>Sheet1!B41</f>
        <v>0</v>
      </c>
    </row>
    <row r="42" spans="1:10" x14ac:dyDescent="0.45">
      <c r="B42" s="22">
        <f>Sheet1!X42</f>
        <v>0</v>
      </c>
      <c r="D42" s="22">
        <f>Sheet1!W42</f>
        <v>0</v>
      </c>
      <c r="G42" s="23" t="str">
        <f t="shared" si="0"/>
        <v>Get Directions</v>
      </c>
      <c r="I42" s="21">
        <f>Sheet1!A42</f>
        <v>0</v>
      </c>
      <c r="J42" s="21">
        <f>Sheet1!B42</f>
        <v>0</v>
      </c>
    </row>
    <row r="43" spans="1:10" x14ac:dyDescent="0.45">
      <c r="D43" s="22">
        <f>Sheet1!W43</f>
        <v>0</v>
      </c>
      <c r="G43" s="23" t="str">
        <f t="shared" si="0"/>
        <v>Get Directions</v>
      </c>
      <c r="I43" s="21">
        <f>Sheet1!A43</f>
        <v>0</v>
      </c>
      <c r="J43" s="21">
        <f>Sheet1!B43</f>
        <v>0</v>
      </c>
    </row>
    <row r="44" spans="1:10" x14ac:dyDescent="0.45">
      <c r="D44" s="22">
        <f>Sheet1!W44</f>
        <v>0</v>
      </c>
      <c r="G44" s="23" t="str">
        <f t="shared" si="0"/>
        <v>Get Directions</v>
      </c>
      <c r="I44" s="21">
        <f>Sheet1!A44</f>
        <v>0</v>
      </c>
      <c r="J44" s="21">
        <f>Sheet1!B44</f>
        <v>0</v>
      </c>
    </row>
    <row r="45" spans="1:10" x14ac:dyDescent="0.45">
      <c r="D45" s="22">
        <f>Sheet1!W45</f>
        <v>0</v>
      </c>
      <c r="G45" s="23" t="str">
        <f t="shared" si="0"/>
        <v>Get Directions</v>
      </c>
      <c r="I45" s="21">
        <f>Sheet1!A45</f>
        <v>0</v>
      </c>
      <c r="J45" s="21">
        <f>Sheet1!B45</f>
        <v>0</v>
      </c>
    </row>
    <row r="46" spans="1:10" x14ac:dyDescent="0.45">
      <c r="D46" s="22">
        <f>Sheet1!W46</f>
        <v>0</v>
      </c>
      <c r="G46" s="23" t="str">
        <f t="shared" si="0"/>
        <v>Get Directions</v>
      </c>
      <c r="I46" s="21">
        <f>Sheet1!A46</f>
        <v>0</v>
      </c>
      <c r="J46" s="21">
        <f>Sheet1!B46</f>
        <v>0</v>
      </c>
    </row>
    <row r="47" spans="1:10" x14ac:dyDescent="0.45">
      <c r="D47" s="22">
        <f>Sheet1!W47</f>
        <v>0</v>
      </c>
      <c r="G47" s="23" t="str">
        <f t="shared" si="0"/>
        <v>Get Directions</v>
      </c>
      <c r="I47" s="21">
        <f>Sheet1!A47</f>
        <v>0</v>
      </c>
      <c r="J47" s="21">
        <f>Sheet1!B47</f>
        <v>0</v>
      </c>
    </row>
    <row r="48" spans="1:10" x14ac:dyDescent="0.45">
      <c r="D48" s="22">
        <f>Sheet1!W48</f>
        <v>0</v>
      </c>
      <c r="G48" s="23" t="str">
        <f t="shared" si="0"/>
        <v>Get Directions</v>
      </c>
      <c r="I48" s="21">
        <f>Sheet1!A48</f>
        <v>0</v>
      </c>
      <c r="J48" s="21">
        <f>Sheet1!B48</f>
        <v>0</v>
      </c>
    </row>
    <row r="49" spans="4:10" x14ac:dyDescent="0.45">
      <c r="D49" s="22">
        <f>Sheet1!W49</f>
        <v>0</v>
      </c>
      <c r="G49" s="23" t="str">
        <f t="shared" si="0"/>
        <v>Get Directions</v>
      </c>
      <c r="I49" s="21">
        <f>Sheet1!A49</f>
        <v>0</v>
      </c>
      <c r="J49" s="21">
        <f>Sheet1!B49</f>
        <v>0</v>
      </c>
    </row>
    <row r="50" spans="4:10" x14ac:dyDescent="0.45">
      <c r="D50" s="22">
        <f>Sheet1!W50</f>
        <v>0</v>
      </c>
      <c r="G50" s="23" t="str">
        <f t="shared" si="0"/>
        <v>Get Directions</v>
      </c>
      <c r="I50" s="21">
        <f>Sheet1!A50</f>
        <v>0</v>
      </c>
      <c r="J50" s="21">
        <f>Sheet1!B50</f>
        <v>0</v>
      </c>
    </row>
    <row r="51" spans="4:10" x14ac:dyDescent="0.45">
      <c r="D51" s="22">
        <f>Sheet1!W51</f>
        <v>0</v>
      </c>
      <c r="G51" s="23" t="str">
        <f t="shared" si="0"/>
        <v>Get Directions</v>
      </c>
      <c r="I51" s="21">
        <f>Sheet1!A51</f>
        <v>0</v>
      </c>
      <c r="J51" s="21">
        <f>Sheet1!B51</f>
        <v>0</v>
      </c>
    </row>
    <row r="52" spans="4:10" x14ac:dyDescent="0.45">
      <c r="D52" s="22">
        <f>Sheet1!W52</f>
        <v>0</v>
      </c>
      <c r="G52" s="23" t="str">
        <f t="shared" si="0"/>
        <v>Get Directions</v>
      </c>
      <c r="I52" s="21">
        <f>Sheet1!A52</f>
        <v>0</v>
      </c>
      <c r="J52" s="21">
        <f>Sheet1!B52</f>
        <v>0</v>
      </c>
    </row>
    <row r="53" spans="4:10" x14ac:dyDescent="0.45">
      <c r="D53" s="22">
        <f>Sheet1!W53</f>
        <v>0</v>
      </c>
      <c r="G53" s="23" t="str">
        <f t="shared" si="0"/>
        <v>Get Directions</v>
      </c>
      <c r="I53" s="21">
        <f>Sheet1!A53</f>
        <v>0</v>
      </c>
      <c r="J53" s="21">
        <f>Sheet1!B53</f>
        <v>0</v>
      </c>
    </row>
    <row r="54" spans="4:10" x14ac:dyDescent="0.45">
      <c r="D54" s="22">
        <f>Sheet1!W54</f>
        <v>0</v>
      </c>
      <c r="G54" s="23" t="str">
        <f t="shared" si="0"/>
        <v>Get Directions</v>
      </c>
      <c r="I54" s="21">
        <f>Sheet1!A54</f>
        <v>0</v>
      </c>
      <c r="J54" s="21">
        <f>Sheet1!B54</f>
        <v>0</v>
      </c>
    </row>
    <row r="55" spans="4:10" x14ac:dyDescent="0.45">
      <c r="D55" s="22">
        <f>Sheet1!W55</f>
        <v>0</v>
      </c>
      <c r="G55" s="23" t="str">
        <f t="shared" si="0"/>
        <v>Get Directions</v>
      </c>
      <c r="I55" s="21">
        <f>Sheet1!A55</f>
        <v>0</v>
      </c>
      <c r="J55" s="21">
        <f>Sheet1!B55</f>
        <v>0</v>
      </c>
    </row>
    <row r="56" spans="4:10" x14ac:dyDescent="0.45">
      <c r="D56" s="22">
        <f>Sheet1!W56</f>
        <v>0</v>
      </c>
      <c r="G56" s="23" t="str">
        <f t="shared" si="0"/>
        <v>Get Directions</v>
      </c>
      <c r="I56" s="21">
        <f>Sheet1!A56</f>
        <v>0</v>
      </c>
      <c r="J56" s="21">
        <f>Sheet1!B56</f>
        <v>0</v>
      </c>
    </row>
    <row r="57" spans="4:10" x14ac:dyDescent="0.45">
      <c r="D57" s="22">
        <f>Sheet1!W57</f>
        <v>0</v>
      </c>
      <c r="G57" s="23" t="str">
        <f t="shared" si="0"/>
        <v>Get Directions</v>
      </c>
      <c r="I57" s="21">
        <f>Sheet1!A57</f>
        <v>0</v>
      </c>
      <c r="J57" s="21">
        <f>Sheet1!B57</f>
        <v>0</v>
      </c>
    </row>
    <row r="58" spans="4:10" x14ac:dyDescent="0.45">
      <c r="D58" s="22">
        <f>Sheet1!W58</f>
        <v>0</v>
      </c>
      <c r="G58" s="23" t="str">
        <f t="shared" si="0"/>
        <v>Get Directions</v>
      </c>
      <c r="I58" s="21">
        <f>Sheet1!A58</f>
        <v>0</v>
      </c>
      <c r="J58" s="21">
        <f>Sheet1!B58</f>
        <v>0</v>
      </c>
    </row>
    <row r="59" spans="4:10" x14ac:dyDescent="0.45">
      <c r="D59" s="22">
        <f>Sheet1!W59</f>
        <v>0</v>
      </c>
      <c r="G59" s="23" t="str">
        <f t="shared" si="0"/>
        <v>Get Directions</v>
      </c>
      <c r="I59" s="21">
        <f>Sheet1!A59</f>
        <v>0</v>
      </c>
      <c r="J59" s="21">
        <f>Sheet1!B59</f>
        <v>0</v>
      </c>
    </row>
    <row r="60" spans="4:10" x14ac:dyDescent="0.45">
      <c r="D60" s="22">
        <f>Sheet1!W60</f>
        <v>0</v>
      </c>
      <c r="G60" s="23" t="str">
        <f t="shared" ref="G60:G123" si="1">HYPERLINK("https://www.google.com/maps/dir/Current+Location/"&amp;J60,"Get Directions")</f>
        <v>Get Directions</v>
      </c>
      <c r="I60" s="21">
        <f>Sheet1!A60</f>
        <v>0</v>
      </c>
      <c r="J60" s="21">
        <f>Sheet1!B60</f>
        <v>0</v>
      </c>
    </row>
    <row r="61" spans="4:10" x14ac:dyDescent="0.45">
      <c r="D61" s="22">
        <f>Sheet1!W61</f>
        <v>0</v>
      </c>
      <c r="G61" s="23" t="str">
        <f t="shared" si="1"/>
        <v>Get Directions</v>
      </c>
      <c r="I61" s="21">
        <f>Sheet1!A61</f>
        <v>0</v>
      </c>
    </row>
    <row r="62" spans="4:10" x14ac:dyDescent="0.45">
      <c r="D62" s="22">
        <f>Sheet1!W62</f>
        <v>0</v>
      </c>
      <c r="G62" s="23" t="str">
        <f t="shared" si="1"/>
        <v>Get Directions</v>
      </c>
      <c r="I62" s="21">
        <f>Sheet1!A62</f>
        <v>0</v>
      </c>
    </row>
    <row r="63" spans="4:10" x14ac:dyDescent="0.45">
      <c r="D63" s="22">
        <f>Sheet1!W63</f>
        <v>0</v>
      </c>
      <c r="G63" s="23" t="str">
        <f t="shared" si="1"/>
        <v>Get Directions</v>
      </c>
      <c r="I63" s="21">
        <f>Sheet1!A63</f>
        <v>0</v>
      </c>
    </row>
    <row r="64" spans="4:10" x14ac:dyDescent="0.45">
      <c r="D64" s="22">
        <f>Sheet1!W64</f>
        <v>0</v>
      </c>
      <c r="G64" s="23" t="str">
        <f t="shared" si="1"/>
        <v>Get Directions</v>
      </c>
      <c r="I64" s="21">
        <f>Sheet1!A64</f>
        <v>0</v>
      </c>
    </row>
    <row r="65" spans="4:9" x14ac:dyDescent="0.45">
      <c r="D65" s="22">
        <f>Sheet1!W65</f>
        <v>0</v>
      </c>
      <c r="G65" s="23" t="str">
        <f t="shared" si="1"/>
        <v>Get Directions</v>
      </c>
      <c r="I65" s="21">
        <f>Sheet1!A65</f>
        <v>0</v>
      </c>
    </row>
    <row r="66" spans="4:9" x14ac:dyDescent="0.45">
      <c r="D66" s="22">
        <f>Sheet1!W66</f>
        <v>0</v>
      </c>
      <c r="G66" s="23" t="str">
        <f t="shared" si="1"/>
        <v>Get Directions</v>
      </c>
      <c r="I66" s="21">
        <f>Sheet1!A66</f>
        <v>0</v>
      </c>
    </row>
    <row r="67" spans="4:9" x14ac:dyDescent="0.45">
      <c r="D67" s="22">
        <f>Sheet1!W67</f>
        <v>0</v>
      </c>
      <c r="G67" s="23" t="str">
        <f t="shared" si="1"/>
        <v>Get Directions</v>
      </c>
      <c r="I67" s="21">
        <f>Sheet1!A67</f>
        <v>0</v>
      </c>
    </row>
    <row r="68" spans="4:9" x14ac:dyDescent="0.45">
      <c r="D68" s="22">
        <f>Sheet1!W68</f>
        <v>0</v>
      </c>
      <c r="G68" s="23" t="str">
        <f t="shared" si="1"/>
        <v>Get Directions</v>
      </c>
      <c r="I68" s="21">
        <f>Sheet1!A68</f>
        <v>0</v>
      </c>
    </row>
    <row r="69" spans="4:9" x14ac:dyDescent="0.45">
      <c r="D69" s="22">
        <f>Sheet1!W69</f>
        <v>0</v>
      </c>
      <c r="G69" s="23" t="str">
        <f t="shared" si="1"/>
        <v>Get Directions</v>
      </c>
      <c r="I69" s="21">
        <f>Sheet1!A69</f>
        <v>0</v>
      </c>
    </row>
    <row r="70" spans="4:9" x14ac:dyDescent="0.45">
      <c r="D70" s="22">
        <f>Sheet1!W70</f>
        <v>0</v>
      </c>
      <c r="G70" s="23" t="str">
        <f t="shared" si="1"/>
        <v>Get Directions</v>
      </c>
      <c r="I70" s="21">
        <f>Sheet1!A70</f>
        <v>0</v>
      </c>
    </row>
    <row r="71" spans="4:9" x14ac:dyDescent="0.45">
      <c r="D71" s="22">
        <f>Sheet1!W71</f>
        <v>0</v>
      </c>
      <c r="G71" s="23" t="str">
        <f t="shared" si="1"/>
        <v>Get Directions</v>
      </c>
      <c r="I71" s="21">
        <f>Sheet1!A71</f>
        <v>0</v>
      </c>
    </row>
    <row r="72" spans="4:9" x14ac:dyDescent="0.45">
      <c r="D72" s="22">
        <f>Sheet1!W72</f>
        <v>0</v>
      </c>
      <c r="G72" s="23" t="str">
        <f t="shared" si="1"/>
        <v>Get Directions</v>
      </c>
      <c r="I72" s="21">
        <f>Sheet1!A72</f>
        <v>0</v>
      </c>
    </row>
    <row r="73" spans="4:9" x14ac:dyDescent="0.45">
      <c r="D73" s="22">
        <f>Sheet1!W73</f>
        <v>0</v>
      </c>
      <c r="G73" s="23" t="str">
        <f t="shared" si="1"/>
        <v>Get Directions</v>
      </c>
      <c r="I73" s="21">
        <f>Sheet1!A73</f>
        <v>0</v>
      </c>
    </row>
    <row r="74" spans="4:9" x14ac:dyDescent="0.45">
      <c r="D74" s="22">
        <f>Sheet1!W74</f>
        <v>0</v>
      </c>
      <c r="G74" s="23" t="str">
        <f t="shared" si="1"/>
        <v>Get Directions</v>
      </c>
      <c r="I74" s="21">
        <f>Sheet1!A74</f>
        <v>0</v>
      </c>
    </row>
    <row r="75" spans="4:9" x14ac:dyDescent="0.45">
      <c r="D75" s="22">
        <f>Sheet1!W75</f>
        <v>0</v>
      </c>
      <c r="G75" s="23" t="str">
        <f t="shared" si="1"/>
        <v>Get Directions</v>
      </c>
      <c r="I75" s="21">
        <f>Sheet1!A75</f>
        <v>0</v>
      </c>
    </row>
    <row r="76" spans="4:9" x14ac:dyDescent="0.45">
      <c r="D76" s="22">
        <f>Sheet1!W76</f>
        <v>0</v>
      </c>
      <c r="G76" s="23" t="str">
        <f t="shared" si="1"/>
        <v>Get Directions</v>
      </c>
      <c r="I76" s="21">
        <f>Sheet1!A76</f>
        <v>0</v>
      </c>
    </row>
    <row r="77" spans="4:9" x14ac:dyDescent="0.45">
      <c r="D77" s="22">
        <f>Sheet1!W77</f>
        <v>0</v>
      </c>
      <c r="G77" s="23" t="str">
        <f t="shared" si="1"/>
        <v>Get Directions</v>
      </c>
      <c r="I77" s="21">
        <f>Sheet1!A77</f>
        <v>0</v>
      </c>
    </row>
    <row r="78" spans="4:9" x14ac:dyDescent="0.45">
      <c r="D78" s="22">
        <f>Sheet1!W78</f>
        <v>0</v>
      </c>
      <c r="G78" s="23" t="str">
        <f t="shared" si="1"/>
        <v>Get Directions</v>
      </c>
      <c r="I78" s="21">
        <f>Sheet1!A78</f>
        <v>0</v>
      </c>
    </row>
    <row r="79" spans="4:9" x14ac:dyDescent="0.45">
      <c r="D79" s="22">
        <f>Sheet1!W79</f>
        <v>0</v>
      </c>
      <c r="G79" s="23" t="str">
        <f t="shared" si="1"/>
        <v>Get Directions</v>
      </c>
      <c r="I79" s="21">
        <f>Sheet1!A79</f>
        <v>0</v>
      </c>
    </row>
    <row r="80" spans="4:9" x14ac:dyDescent="0.45">
      <c r="D80" s="22">
        <f>Sheet1!W80</f>
        <v>0</v>
      </c>
      <c r="G80" s="23" t="str">
        <f t="shared" si="1"/>
        <v>Get Directions</v>
      </c>
      <c r="I80" s="21">
        <f>Sheet1!A80</f>
        <v>0</v>
      </c>
    </row>
    <row r="81" spans="4:9" x14ac:dyDescent="0.45">
      <c r="D81" s="22">
        <f>Sheet1!W81</f>
        <v>0</v>
      </c>
      <c r="G81" s="23" t="str">
        <f t="shared" si="1"/>
        <v>Get Directions</v>
      </c>
      <c r="I81" s="21">
        <f>Sheet1!A81</f>
        <v>0</v>
      </c>
    </row>
    <row r="82" spans="4:9" x14ac:dyDescent="0.45">
      <c r="D82" s="22">
        <f>Sheet1!W82</f>
        <v>0</v>
      </c>
      <c r="G82" s="23" t="str">
        <f t="shared" si="1"/>
        <v>Get Directions</v>
      </c>
      <c r="I82" s="21">
        <f>Sheet1!A82</f>
        <v>0</v>
      </c>
    </row>
    <row r="83" spans="4:9" x14ac:dyDescent="0.45">
      <c r="D83" s="22">
        <f>Sheet1!W83</f>
        <v>0</v>
      </c>
      <c r="G83" s="23" t="str">
        <f t="shared" si="1"/>
        <v>Get Directions</v>
      </c>
      <c r="I83" s="21">
        <f>Sheet1!A83</f>
        <v>0</v>
      </c>
    </row>
    <row r="84" spans="4:9" x14ac:dyDescent="0.45">
      <c r="D84" s="22">
        <f>Sheet1!W84</f>
        <v>0</v>
      </c>
      <c r="G84" s="23" t="str">
        <f t="shared" si="1"/>
        <v>Get Directions</v>
      </c>
      <c r="I84" s="21">
        <f>Sheet1!A84</f>
        <v>0</v>
      </c>
    </row>
    <row r="85" spans="4:9" x14ac:dyDescent="0.45">
      <c r="D85" s="22">
        <f>Sheet1!W85</f>
        <v>0</v>
      </c>
      <c r="G85" s="23" t="str">
        <f t="shared" si="1"/>
        <v>Get Directions</v>
      </c>
      <c r="I85" s="21">
        <f>Sheet1!A85</f>
        <v>0</v>
      </c>
    </row>
    <row r="86" spans="4:9" x14ac:dyDescent="0.45">
      <c r="D86" s="22">
        <f>Sheet1!W86</f>
        <v>0</v>
      </c>
      <c r="G86" s="23" t="str">
        <f t="shared" si="1"/>
        <v>Get Directions</v>
      </c>
      <c r="I86" s="21">
        <f>Sheet1!A86</f>
        <v>0</v>
      </c>
    </row>
    <row r="87" spans="4:9" x14ac:dyDescent="0.45">
      <c r="D87" s="22">
        <f>Sheet1!W87</f>
        <v>0</v>
      </c>
      <c r="G87" s="23" t="str">
        <f t="shared" si="1"/>
        <v>Get Directions</v>
      </c>
    </row>
    <row r="88" spans="4:9" x14ac:dyDescent="0.45">
      <c r="D88" s="22">
        <f>Sheet1!W88</f>
        <v>0</v>
      </c>
      <c r="G88" s="23" t="str">
        <f t="shared" si="1"/>
        <v>Get Directions</v>
      </c>
    </row>
    <row r="89" spans="4:9" x14ac:dyDescent="0.45">
      <c r="D89" s="22">
        <f>Sheet1!W89</f>
        <v>0</v>
      </c>
      <c r="G89" s="23" t="str">
        <f t="shared" si="1"/>
        <v>Get Directions</v>
      </c>
    </row>
    <row r="90" spans="4:9" x14ac:dyDescent="0.45">
      <c r="D90" s="22">
        <f>Sheet1!W90</f>
        <v>0</v>
      </c>
      <c r="G90" s="23" t="str">
        <f t="shared" si="1"/>
        <v>Get Directions</v>
      </c>
    </row>
    <row r="91" spans="4:9" x14ac:dyDescent="0.45">
      <c r="D91" s="22">
        <f>Sheet1!W91</f>
        <v>0</v>
      </c>
      <c r="G91" s="23" t="str">
        <f t="shared" si="1"/>
        <v>Get Directions</v>
      </c>
    </row>
    <row r="92" spans="4:9" x14ac:dyDescent="0.45">
      <c r="D92" s="22">
        <f>Sheet1!W92</f>
        <v>0</v>
      </c>
      <c r="G92" s="23" t="str">
        <f t="shared" si="1"/>
        <v>Get Directions</v>
      </c>
    </row>
    <row r="93" spans="4:9" x14ac:dyDescent="0.45">
      <c r="D93" s="22">
        <f>Sheet1!W93</f>
        <v>0</v>
      </c>
      <c r="G93" s="23" t="str">
        <f t="shared" si="1"/>
        <v>Get Directions</v>
      </c>
    </row>
    <row r="94" spans="4:9" x14ac:dyDescent="0.45">
      <c r="D94" s="22">
        <f>Sheet1!W94</f>
        <v>0</v>
      </c>
      <c r="G94" s="23" t="str">
        <f t="shared" si="1"/>
        <v>Get Directions</v>
      </c>
    </row>
    <row r="95" spans="4:9" x14ac:dyDescent="0.45">
      <c r="D95" s="22">
        <f>Sheet1!W95</f>
        <v>0</v>
      </c>
      <c r="G95" s="23" t="str">
        <f t="shared" si="1"/>
        <v>Get Directions</v>
      </c>
    </row>
    <row r="96" spans="4:9" x14ac:dyDescent="0.45">
      <c r="D96" s="22">
        <f>Sheet1!W96</f>
        <v>0</v>
      </c>
      <c r="G96" s="23" t="str">
        <f t="shared" si="1"/>
        <v>Get Directions</v>
      </c>
    </row>
    <row r="97" spans="4:7" x14ac:dyDescent="0.45">
      <c r="D97" s="22">
        <f>Sheet1!W97</f>
        <v>0</v>
      </c>
      <c r="G97" s="23" t="str">
        <f t="shared" si="1"/>
        <v>Get Directions</v>
      </c>
    </row>
    <row r="98" spans="4:7" x14ac:dyDescent="0.45">
      <c r="D98" s="22">
        <f>Sheet1!W98</f>
        <v>0</v>
      </c>
      <c r="G98" s="23" t="str">
        <f t="shared" si="1"/>
        <v>Get Directions</v>
      </c>
    </row>
    <row r="99" spans="4:7" x14ac:dyDescent="0.45">
      <c r="D99" s="22">
        <f>Sheet1!W99</f>
        <v>0</v>
      </c>
      <c r="G99" s="23" t="str">
        <f t="shared" si="1"/>
        <v>Get Directions</v>
      </c>
    </row>
    <row r="100" spans="4:7" x14ac:dyDescent="0.45">
      <c r="D100" s="22">
        <f>Sheet1!W100</f>
        <v>0</v>
      </c>
      <c r="G100" s="23" t="str">
        <f t="shared" si="1"/>
        <v>Get Directions</v>
      </c>
    </row>
    <row r="101" spans="4:7" x14ac:dyDescent="0.45">
      <c r="D101" s="22">
        <f>Sheet1!W101</f>
        <v>0</v>
      </c>
      <c r="G101" s="23" t="str">
        <f t="shared" si="1"/>
        <v>Get Directions</v>
      </c>
    </row>
    <row r="102" spans="4:7" x14ac:dyDescent="0.45">
      <c r="D102" s="22">
        <f>Sheet1!W102</f>
        <v>0</v>
      </c>
      <c r="G102" s="23" t="str">
        <f t="shared" si="1"/>
        <v>Get Directions</v>
      </c>
    </row>
    <row r="103" spans="4:7" x14ac:dyDescent="0.45">
      <c r="D103" s="22">
        <f>Sheet1!W103</f>
        <v>0</v>
      </c>
      <c r="G103" s="23" t="str">
        <f t="shared" si="1"/>
        <v>Get Directions</v>
      </c>
    </row>
    <row r="104" spans="4:7" x14ac:dyDescent="0.45">
      <c r="D104" s="22">
        <f>Sheet1!W104</f>
        <v>0</v>
      </c>
      <c r="G104" s="23" t="str">
        <f t="shared" si="1"/>
        <v>Get Directions</v>
      </c>
    </row>
    <row r="105" spans="4:7" x14ac:dyDescent="0.45">
      <c r="D105" s="22">
        <f>Sheet1!W105</f>
        <v>0</v>
      </c>
      <c r="G105" s="23" t="str">
        <f t="shared" si="1"/>
        <v>Get Directions</v>
      </c>
    </row>
    <row r="106" spans="4:7" x14ac:dyDescent="0.45">
      <c r="D106" s="22">
        <f>Sheet1!W106</f>
        <v>0</v>
      </c>
      <c r="G106" s="23" t="str">
        <f t="shared" si="1"/>
        <v>Get Directions</v>
      </c>
    </row>
    <row r="107" spans="4:7" x14ac:dyDescent="0.45">
      <c r="D107" s="22">
        <f>Sheet1!W107</f>
        <v>0</v>
      </c>
      <c r="G107" s="23" t="str">
        <f t="shared" si="1"/>
        <v>Get Directions</v>
      </c>
    </row>
    <row r="108" spans="4:7" x14ac:dyDescent="0.45">
      <c r="D108" s="22">
        <f>Sheet1!W108</f>
        <v>0</v>
      </c>
      <c r="G108" s="23" t="str">
        <f t="shared" si="1"/>
        <v>Get Directions</v>
      </c>
    </row>
    <row r="109" spans="4:7" x14ac:dyDescent="0.45">
      <c r="D109" s="22">
        <f>Sheet1!W109</f>
        <v>0</v>
      </c>
      <c r="G109" s="23" t="str">
        <f t="shared" si="1"/>
        <v>Get Directions</v>
      </c>
    </row>
    <row r="110" spans="4:7" x14ac:dyDescent="0.45">
      <c r="D110" s="22">
        <f>Sheet1!W110</f>
        <v>0</v>
      </c>
      <c r="G110" s="23" t="str">
        <f t="shared" si="1"/>
        <v>Get Directions</v>
      </c>
    </row>
    <row r="111" spans="4:7" x14ac:dyDescent="0.45">
      <c r="D111" s="22">
        <f>Sheet1!W111</f>
        <v>0</v>
      </c>
      <c r="G111" s="23" t="str">
        <f t="shared" si="1"/>
        <v>Get Directions</v>
      </c>
    </row>
    <row r="112" spans="4:7" x14ac:dyDescent="0.45">
      <c r="D112" s="22">
        <f>Sheet1!W112</f>
        <v>0</v>
      </c>
      <c r="G112" s="23" t="str">
        <f t="shared" si="1"/>
        <v>Get Directions</v>
      </c>
    </row>
    <row r="113" spans="4:7" x14ac:dyDescent="0.45">
      <c r="D113" s="22">
        <f>Sheet1!W113</f>
        <v>0</v>
      </c>
      <c r="G113" s="23" t="str">
        <f t="shared" si="1"/>
        <v>Get Directions</v>
      </c>
    </row>
    <row r="114" spans="4:7" x14ac:dyDescent="0.45">
      <c r="D114" s="22">
        <f>Sheet1!W114</f>
        <v>0</v>
      </c>
      <c r="G114" s="23" t="str">
        <f t="shared" si="1"/>
        <v>Get Directions</v>
      </c>
    </row>
    <row r="115" spans="4:7" x14ac:dyDescent="0.45">
      <c r="D115" s="22">
        <f>Sheet1!W115</f>
        <v>0</v>
      </c>
      <c r="G115" s="23" t="str">
        <f t="shared" si="1"/>
        <v>Get Directions</v>
      </c>
    </row>
    <row r="116" spans="4:7" x14ac:dyDescent="0.45">
      <c r="D116" s="22">
        <f>Sheet1!W116</f>
        <v>0</v>
      </c>
      <c r="G116" s="23" t="str">
        <f t="shared" si="1"/>
        <v>Get Directions</v>
      </c>
    </row>
    <row r="117" spans="4:7" x14ac:dyDescent="0.45">
      <c r="D117" s="22">
        <f>Sheet1!W117</f>
        <v>0</v>
      </c>
      <c r="G117" s="23" t="str">
        <f t="shared" si="1"/>
        <v>Get Directions</v>
      </c>
    </row>
    <row r="118" spans="4:7" x14ac:dyDescent="0.45">
      <c r="D118" s="22">
        <f>Sheet1!W118</f>
        <v>0</v>
      </c>
      <c r="G118" s="23" t="str">
        <f t="shared" si="1"/>
        <v>Get Directions</v>
      </c>
    </row>
    <row r="119" spans="4:7" x14ac:dyDescent="0.45">
      <c r="D119" s="22">
        <f>Sheet1!W119</f>
        <v>0</v>
      </c>
      <c r="G119" s="23" t="str">
        <f t="shared" si="1"/>
        <v>Get Directions</v>
      </c>
    </row>
    <row r="120" spans="4:7" x14ac:dyDescent="0.45">
      <c r="D120" s="22">
        <f>Sheet1!W120</f>
        <v>0</v>
      </c>
      <c r="G120" s="23" t="str">
        <f t="shared" si="1"/>
        <v>Get Directions</v>
      </c>
    </row>
    <row r="121" spans="4:7" x14ac:dyDescent="0.45">
      <c r="D121" s="22">
        <f>Sheet1!W121</f>
        <v>0</v>
      </c>
      <c r="G121" s="23" t="str">
        <f t="shared" si="1"/>
        <v>Get Directions</v>
      </c>
    </row>
    <row r="122" spans="4:7" x14ac:dyDescent="0.45">
      <c r="D122" s="22">
        <f>Sheet1!W122</f>
        <v>0</v>
      </c>
      <c r="G122" s="23" t="str">
        <f t="shared" si="1"/>
        <v>Get Directions</v>
      </c>
    </row>
    <row r="123" spans="4:7" x14ac:dyDescent="0.45">
      <c r="D123" s="22">
        <f>Sheet1!W123</f>
        <v>0</v>
      </c>
      <c r="G123" s="23" t="str">
        <f t="shared" si="1"/>
        <v>Get Directions</v>
      </c>
    </row>
    <row r="124" spans="4:7" x14ac:dyDescent="0.45">
      <c r="D124" s="22">
        <f>Sheet1!W124</f>
        <v>0</v>
      </c>
      <c r="G124" s="23" t="str">
        <f t="shared" ref="G124:G187" si="2">HYPERLINK("https://www.google.com/maps/dir/Current+Location/"&amp;J124,"Get Directions")</f>
        <v>Get Directions</v>
      </c>
    </row>
    <row r="125" spans="4:7" x14ac:dyDescent="0.45">
      <c r="D125" s="22">
        <f>Sheet1!W125</f>
        <v>0</v>
      </c>
      <c r="G125" s="23" t="str">
        <f t="shared" si="2"/>
        <v>Get Directions</v>
      </c>
    </row>
    <row r="126" spans="4:7" x14ac:dyDescent="0.45">
      <c r="D126" s="22">
        <f>Sheet1!W126</f>
        <v>0</v>
      </c>
      <c r="G126" s="23" t="str">
        <f t="shared" si="2"/>
        <v>Get Directions</v>
      </c>
    </row>
    <row r="127" spans="4:7" x14ac:dyDescent="0.45">
      <c r="D127" s="22">
        <f>Sheet1!W127</f>
        <v>0</v>
      </c>
      <c r="G127" s="23" t="str">
        <f t="shared" si="2"/>
        <v>Get Directions</v>
      </c>
    </row>
    <row r="128" spans="4:7" x14ac:dyDescent="0.45">
      <c r="D128" s="22">
        <f>Sheet1!W128</f>
        <v>0</v>
      </c>
      <c r="G128" s="23" t="str">
        <f t="shared" si="2"/>
        <v>Get Directions</v>
      </c>
    </row>
    <row r="129" spans="4:7" x14ac:dyDescent="0.45">
      <c r="D129" s="22">
        <f>Sheet1!W129</f>
        <v>0</v>
      </c>
      <c r="G129" s="23" t="str">
        <f t="shared" si="2"/>
        <v>Get Directions</v>
      </c>
    </row>
    <row r="130" spans="4:7" x14ac:dyDescent="0.45">
      <c r="D130" s="22">
        <f>Sheet1!W130</f>
        <v>0</v>
      </c>
      <c r="G130" s="23" t="str">
        <f t="shared" si="2"/>
        <v>Get Directions</v>
      </c>
    </row>
    <row r="131" spans="4:7" x14ac:dyDescent="0.45">
      <c r="D131" s="22">
        <f>Sheet1!W131</f>
        <v>0</v>
      </c>
      <c r="G131" s="23" t="str">
        <f t="shared" si="2"/>
        <v>Get Directions</v>
      </c>
    </row>
    <row r="132" spans="4:7" x14ac:dyDescent="0.45">
      <c r="D132" s="22">
        <f>Sheet1!W132</f>
        <v>0</v>
      </c>
      <c r="G132" s="23" t="str">
        <f t="shared" si="2"/>
        <v>Get Directions</v>
      </c>
    </row>
    <row r="133" spans="4:7" x14ac:dyDescent="0.45">
      <c r="D133" s="22">
        <f>Sheet1!W133</f>
        <v>0</v>
      </c>
      <c r="G133" s="23" t="str">
        <f t="shared" si="2"/>
        <v>Get Directions</v>
      </c>
    </row>
    <row r="134" spans="4:7" x14ac:dyDescent="0.45">
      <c r="D134" s="22">
        <f>Sheet1!W134</f>
        <v>0</v>
      </c>
      <c r="G134" s="23" t="str">
        <f t="shared" si="2"/>
        <v>Get Directions</v>
      </c>
    </row>
    <row r="135" spans="4:7" x14ac:dyDescent="0.45">
      <c r="D135" s="22">
        <f>Sheet1!W135</f>
        <v>0</v>
      </c>
      <c r="G135" s="23" t="str">
        <f t="shared" si="2"/>
        <v>Get Directions</v>
      </c>
    </row>
    <row r="136" spans="4:7" x14ac:dyDescent="0.45">
      <c r="D136" s="22">
        <f>Sheet1!W136</f>
        <v>0</v>
      </c>
      <c r="G136" s="23" t="str">
        <f t="shared" si="2"/>
        <v>Get Directions</v>
      </c>
    </row>
    <row r="137" spans="4:7" x14ac:dyDescent="0.45">
      <c r="D137" s="22">
        <f>Sheet1!W137</f>
        <v>0</v>
      </c>
      <c r="G137" s="23" t="str">
        <f t="shared" si="2"/>
        <v>Get Directions</v>
      </c>
    </row>
    <row r="138" spans="4:7" x14ac:dyDescent="0.45">
      <c r="D138" s="22">
        <f>Sheet1!W138</f>
        <v>0</v>
      </c>
      <c r="G138" s="23" t="str">
        <f t="shared" si="2"/>
        <v>Get Directions</v>
      </c>
    </row>
    <row r="139" spans="4:7" x14ac:dyDescent="0.45">
      <c r="D139" s="22">
        <f>Sheet1!W139</f>
        <v>0</v>
      </c>
      <c r="G139" s="23" t="str">
        <f t="shared" si="2"/>
        <v>Get Directions</v>
      </c>
    </row>
    <row r="140" spans="4:7" x14ac:dyDescent="0.45">
      <c r="D140" s="22">
        <f>Sheet1!W140</f>
        <v>0</v>
      </c>
      <c r="G140" s="23" t="str">
        <f t="shared" si="2"/>
        <v>Get Directions</v>
      </c>
    </row>
    <row r="141" spans="4:7" x14ac:dyDescent="0.45">
      <c r="D141" s="22">
        <f>Sheet1!W141</f>
        <v>0</v>
      </c>
      <c r="G141" s="23" t="str">
        <f t="shared" si="2"/>
        <v>Get Directions</v>
      </c>
    </row>
    <row r="142" spans="4:7" x14ac:dyDescent="0.45">
      <c r="D142" s="22">
        <f>Sheet1!W142</f>
        <v>0</v>
      </c>
      <c r="G142" s="23" t="str">
        <f t="shared" si="2"/>
        <v>Get Directions</v>
      </c>
    </row>
    <row r="143" spans="4:7" x14ac:dyDescent="0.45">
      <c r="D143" s="22">
        <f>Sheet1!W143</f>
        <v>0</v>
      </c>
      <c r="G143" s="23" t="str">
        <f t="shared" si="2"/>
        <v>Get Directions</v>
      </c>
    </row>
    <row r="144" spans="4:7" x14ac:dyDescent="0.45">
      <c r="D144" s="22">
        <f>Sheet1!W144</f>
        <v>0</v>
      </c>
      <c r="G144" s="23" t="str">
        <f t="shared" si="2"/>
        <v>Get Directions</v>
      </c>
    </row>
    <row r="145" spans="4:7" x14ac:dyDescent="0.45">
      <c r="D145" s="22">
        <f>Sheet1!W145</f>
        <v>0</v>
      </c>
      <c r="G145" s="23" t="str">
        <f t="shared" si="2"/>
        <v>Get Directions</v>
      </c>
    </row>
    <row r="146" spans="4:7" x14ac:dyDescent="0.45">
      <c r="D146" s="22">
        <f>Sheet1!W146</f>
        <v>0</v>
      </c>
      <c r="G146" s="23" t="str">
        <f t="shared" si="2"/>
        <v>Get Directions</v>
      </c>
    </row>
    <row r="147" spans="4:7" x14ac:dyDescent="0.45">
      <c r="D147" s="22">
        <f>Sheet1!W147</f>
        <v>0</v>
      </c>
      <c r="G147" s="23" t="str">
        <f t="shared" si="2"/>
        <v>Get Directions</v>
      </c>
    </row>
    <row r="148" spans="4:7" x14ac:dyDescent="0.45">
      <c r="D148" s="22">
        <f>Sheet1!W148</f>
        <v>0</v>
      </c>
      <c r="G148" s="23" t="str">
        <f t="shared" si="2"/>
        <v>Get Directions</v>
      </c>
    </row>
    <row r="149" spans="4:7" x14ac:dyDescent="0.45">
      <c r="D149" s="22">
        <f>Sheet1!W149</f>
        <v>0</v>
      </c>
      <c r="G149" s="23" t="str">
        <f t="shared" si="2"/>
        <v>Get Directions</v>
      </c>
    </row>
    <row r="150" spans="4:7" x14ac:dyDescent="0.45">
      <c r="D150" s="22">
        <f>Sheet1!W150</f>
        <v>0</v>
      </c>
      <c r="G150" s="23" t="str">
        <f t="shared" si="2"/>
        <v>Get Directions</v>
      </c>
    </row>
    <row r="151" spans="4:7" x14ac:dyDescent="0.45">
      <c r="D151" s="22">
        <f>Sheet1!W151</f>
        <v>0</v>
      </c>
      <c r="G151" s="23" t="str">
        <f t="shared" si="2"/>
        <v>Get Directions</v>
      </c>
    </row>
    <row r="152" spans="4:7" x14ac:dyDescent="0.45">
      <c r="D152" s="22">
        <f>Sheet1!W152</f>
        <v>0</v>
      </c>
      <c r="G152" s="23" t="str">
        <f t="shared" si="2"/>
        <v>Get Directions</v>
      </c>
    </row>
    <row r="153" spans="4:7" x14ac:dyDescent="0.45">
      <c r="D153" s="22">
        <f>Sheet1!W153</f>
        <v>0</v>
      </c>
      <c r="G153" s="23" t="str">
        <f t="shared" si="2"/>
        <v>Get Directions</v>
      </c>
    </row>
    <row r="154" spans="4:7" x14ac:dyDescent="0.45">
      <c r="D154" s="22">
        <f>Sheet1!W154</f>
        <v>0</v>
      </c>
      <c r="G154" s="23" t="str">
        <f t="shared" si="2"/>
        <v>Get Directions</v>
      </c>
    </row>
    <row r="155" spans="4:7" x14ac:dyDescent="0.45">
      <c r="D155" s="22">
        <f>Sheet1!W155</f>
        <v>0</v>
      </c>
      <c r="G155" s="23" t="str">
        <f t="shared" si="2"/>
        <v>Get Directions</v>
      </c>
    </row>
    <row r="156" spans="4:7" x14ac:dyDescent="0.45">
      <c r="D156" s="22">
        <f>Sheet1!W156</f>
        <v>0</v>
      </c>
      <c r="G156" s="23" t="str">
        <f t="shared" si="2"/>
        <v>Get Directions</v>
      </c>
    </row>
    <row r="157" spans="4:7" x14ac:dyDescent="0.45">
      <c r="D157" s="22">
        <f>Sheet1!W157</f>
        <v>0</v>
      </c>
      <c r="G157" s="23" t="str">
        <f t="shared" si="2"/>
        <v>Get Directions</v>
      </c>
    </row>
    <row r="158" spans="4:7" x14ac:dyDescent="0.45">
      <c r="D158" s="22">
        <f>Sheet1!W158</f>
        <v>0</v>
      </c>
      <c r="G158" s="23" t="str">
        <f t="shared" si="2"/>
        <v>Get Directions</v>
      </c>
    </row>
    <row r="159" spans="4:7" x14ac:dyDescent="0.45">
      <c r="D159" s="22">
        <f>Sheet1!W159</f>
        <v>0</v>
      </c>
      <c r="G159" s="23" t="str">
        <f t="shared" si="2"/>
        <v>Get Directions</v>
      </c>
    </row>
    <row r="160" spans="4:7" x14ac:dyDescent="0.45">
      <c r="D160" s="22">
        <f>Sheet1!W160</f>
        <v>0</v>
      </c>
      <c r="G160" s="23" t="str">
        <f t="shared" si="2"/>
        <v>Get Directions</v>
      </c>
    </row>
    <row r="161" spans="4:7" x14ac:dyDescent="0.45">
      <c r="D161" s="22">
        <f>Sheet1!W161</f>
        <v>0</v>
      </c>
      <c r="G161" s="23" t="str">
        <f t="shared" si="2"/>
        <v>Get Directions</v>
      </c>
    </row>
    <row r="162" spans="4:7" x14ac:dyDescent="0.45">
      <c r="D162" s="22">
        <f>Sheet1!W162</f>
        <v>0</v>
      </c>
      <c r="G162" s="23" t="str">
        <f t="shared" si="2"/>
        <v>Get Directions</v>
      </c>
    </row>
    <row r="163" spans="4:7" x14ac:dyDescent="0.45">
      <c r="D163" s="22">
        <f>Sheet1!W163</f>
        <v>0</v>
      </c>
      <c r="G163" s="23" t="str">
        <f t="shared" si="2"/>
        <v>Get Directions</v>
      </c>
    </row>
    <row r="164" spans="4:7" x14ac:dyDescent="0.45">
      <c r="D164" s="22">
        <f>Sheet1!W164</f>
        <v>0</v>
      </c>
      <c r="G164" s="23" t="str">
        <f t="shared" si="2"/>
        <v>Get Directions</v>
      </c>
    </row>
    <row r="165" spans="4:7" x14ac:dyDescent="0.45">
      <c r="D165" s="22">
        <f>Sheet1!W165</f>
        <v>0</v>
      </c>
      <c r="G165" s="23" t="str">
        <f t="shared" si="2"/>
        <v>Get Directions</v>
      </c>
    </row>
    <row r="166" spans="4:7" x14ac:dyDescent="0.45">
      <c r="D166" s="22">
        <f>Sheet1!W166</f>
        <v>0</v>
      </c>
      <c r="G166" s="23" t="str">
        <f t="shared" si="2"/>
        <v>Get Directions</v>
      </c>
    </row>
    <row r="167" spans="4:7" x14ac:dyDescent="0.45">
      <c r="D167" s="22">
        <f>Sheet1!W167</f>
        <v>0</v>
      </c>
      <c r="G167" s="23" t="str">
        <f t="shared" si="2"/>
        <v>Get Directions</v>
      </c>
    </row>
    <row r="168" spans="4:7" x14ac:dyDescent="0.45">
      <c r="D168" s="22">
        <f>Sheet1!W168</f>
        <v>0</v>
      </c>
      <c r="G168" s="23" t="str">
        <f t="shared" si="2"/>
        <v>Get Directions</v>
      </c>
    </row>
    <row r="169" spans="4:7" x14ac:dyDescent="0.45">
      <c r="D169" s="22">
        <f>Sheet1!W169</f>
        <v>0</v>
      </c>
      <c r="G169" s="23" t="str">
        <f t="shared" si="2"/>
        <v>Get Directions</v>
      </c>
    </row>
    <row r="170" spans="4:7" x14ac:dyDescent="0.45">
      <c r="D170" s="22">
        <f>Sheet1!W170</f>
        <v>0</v>
      </c>
      <c r="G170" s="23" t="str">
        <f t="shared" si="2"/>
        <v>Get Directions</v>
      </c>
    </row>
    <row r="171" spans="4:7" x14ac:dyDescent="0.45">
      <c r="D171" s="22">
        <f>Sheet1!W171</f>
        <v>0</v>
      </c>
      <c r="G171" s="23" t="str">
        <f t="shared" si="2"/>
        <v>Get Directions</v>
      </c>
    </row>
    <row r="172" spans="4:7" x14ac:dyDescent="0.45">
      <c r="D172" s="22">
        <f>Sheet1!W172</f>
        <v>0</v>
      </c>
      <c r="G172" s="23" t="str">
        <f t="shared" si="2"/>
        <v>Get Directions</v>
      </c>
    </row>
    <row r="173" spans="4:7" x14ac:dyDescent="0.45">
      <c r="D173" s="22">
        <f>Sheet1!W173</f>
        <v>0</v>
      </c>
      <c r="G173" s="23" t="str">
        <f t="shared" si="2"/>
        <v>Get Directions</v>
      </c>
    </row>
    <row r="174" spans="4:7" x14ac:dyDescent="0.45">
      <c r="D174" s="22">
        <f>Sheet1!W174</f>
        <v>0</v>
      </c>
      <c r="G174" s="23" t="str">
        <f t="shared" si="2"/>
        <v>Get Directions</v>
      </c>
    </row>
    <row r="175" spans="4:7" x14ac:dyDescent="0.45">
      <c r="D175" s="22">
        <f>Sheet1!W175</f>
        <v>0</v>
      </c>
      <c r="G175" s="23" t="str">
        <f t="shared" si="2"/>
        <v>Get Directions</v>
      </c>
    </row>
    <row r="176" spans="4:7" x14ac:dyDescent="0.45">
      <c r="D176" s="22">
        <f>Sheet1!W176</f>
        <v>0</v>
      </c>
      <c r="G176" s="23" t="str">
        <f t="shared" si="2"/>
        <v>Get Directions</v>
      </c>
    </row>
    <row r="177" spans="4:7" x14ac:dyDescent="0.45">
      <c r="D177" s="22">
        <f>Sheet1!W177</f>
        <v>0</v>
      </c>
      <c r="G177" s="23" t="str">
        <f t="shared" si="2"/>
        <v>Get Directions</v>
      </c>
    </row>
    <row r="178" spans="4:7" x14ac:dyDescent="0.45">
      <c r="D178" s="22">
        <f>Sheet1!W178</f>
        <v>0</v>
      </c>
      <c r="G178" s="23" t="str">
        <f t="shared" si="2"/>
        <v>Get Directions</v>
      </c>
    </row>
    <row r="179" spans="4:7" x14ac:dyDescent="0.45">
      <c r="D179" s="22">
        <f>Sheet1!W179</f>
        <v>0</v>
      </c>
      <c r="G179" s="23" t="str">
        <f t="shared" si="2"/>
        <v>Get Directions</v>
      </c>
    </row>
    <row r="180" spans="4:7" x14ac:dyDescent="0.45">
      <c r="D180" s="22">
        <f>Sheet1!W180</f>
        <v>0</v>
      </c>
      <c r="G180" s="23" t="str">
        <f t="shared" si="2"/>
        <v>Get Directions</v>
      </c>
    </row>
    <row r="181" spans="4:7" x14ac:dyDescent="0.45">
      <c r="D181" s="22">
        <f>Sheet1!W181</f>
        <v>0</v>
      </c>
      <c r="G181" s="23" t="str">
        <f t="shared" si="2"/>
        <v>Get Directions</v>
      </c>
    </row>
    <row r="182" spans="4:7" x14ac:dyDescent="0.45">
      <c r="D182" s="22">
        <f>Sheet1!W182</f>
        <v>0</v>
      </c>
      <c r="G182" s="23" t="str">
        <f t="shared" si="2"/>
        <v>Get Directions</v>
      </c>
    </row>
    <row r="183" spans="4:7" x14ac:dyDescent="0.45">
      <c r="D183" s="22">
        <f>Sheet1!W183</f>
        <v>0</v>
      </c>
      <c r="G183" s="23" t="str">
        <f t="shared" si="2"/>
        <v>Get Directions</v>
      </c>
    </row>
    <row r="184" spans="4:7" x14ac:dyDescent="0.45">
      <c r="D184" s="22">
        <f>Sheet1!W184</f>
        <v>0</v>
      </c>
      <c r="G184" s="23" t="str">
        <f t="shared" si="2"/>
        <v>Get Directions</v>
      </c>
    </row>
    <row r="185" spans="4:7" x14ac:dyDescent="0.45">
      <c r="D185" s="22">
        <f>Sheet1!W185</f>
        <v>0</v>
      </c>
      <c r="G185" s="23" t="str">
        <f t="shared" si="2"/>
        <v>Get Directions</v>
      </c>
    </row>
    <row r="186" spans="4:7" x14ac:dyDescent="0.45">
      <c r="D186" s="22">
        <f>Sheet1!W186</f>
        <v>0</v>
      </c>
      <c r="G186" s="23" t="str">
        <f t="shared" si="2"/>
        <v>Get Directions</v>
      </c>
    </row>
    <row r="187" spans="4:7" x14ac:dyDescent="0.45">
      <c r="D187" s="22">
        <f>Sheet1!W187</f>
        <v>0</v>
      </c>
      <c r="G187" s="23" t="str">
        <f t="shared" si="2"/>
        <v>Get Directions</v>
      </c>
    </row>
    <row r="188" spans="4:7" x14ac:dyDescent="0.45">
      <c r="D188" s="22">
        <f>Sheet1!W188</f>
        <v>0</v>
      </c>
      <c r="G188" s="23" t="str">
        <f t="shared" ref="G188:G251" si="3">HYPERLINK("https://www.google.com/maps/dir/Current+Location/"&amp;J188,"Get Directions")</f>
        <v>Get Directions</v>
      </c>
    </row>
    <row r="189" spans="4:7" x14ac:dyDescent="0.45">
      <c r="D189" s="22">
        <f>Sheet1!W189</f>
        <v>0</v>
      </c>
      <c r="G189" s="23" t="str">
        <f t="shared" si="3"/>
        <v>Get Directions</v>
      </c>
    </row>
    <row r="190" spans="4:7" x14ac:dyDescent="0.45">
      <c r="D190" s="22">
        <f>Sheet1!W190</f>
        <v>0</v>
      </c>
      <c r="G190" s="23" t="str">
        <f t="shared" si="3"/>
        <v>Get Directions</v>
      </c>
    </row>
    <row r="191" spans="4:7" x14ac:dyDescent="0.45">
      <c r="D191" s="22">
        <f>Sheet1!W191</f>
        <v>0</v>
      </c>
      <c r="G191" s="23" t="str">
        <f t="shared" si="3"/>
        <v>Get Directions</v>
      </c>
    </row>
    <row r="192" spans="4:7" x14ac:dyDescent="0.45">
      <c r="D192" s="22">
        <f>Sheet1!W192</f>
        <v>0</v>
      </c>
      <c r="G192" s="23" t="str">
        <f t="shared" si="3"/>
        <v>Get Directions</v>
      </c>
    </row>
    <row r="193" spans="4:7" x14ac:dyDescent="0.45">
      <c r="D193" s="22">
        <f>Sheet1!W193</f>
        <v>0</v>
      </c>
      <c r="G193" s="23" t="str">
        <f t="shared" si="3"/>
        <v>Get Directions</v>
      </c>
    </row>
    <row r="194" spans="4:7" x14ac:dyDescent="0.45">
      <c r="D194" s="22">
        <f>Sheet1!W194</f>
        <v>0</v>
      </c>
      <c r="G194" s="23" t="str">
        <f t="shared" si="3"/>
        <v>Get Directions</v>
      </c>
    </row>
    <row r="195" spans="4:7" x14ac:dyDescent="0.45">
      <c r="D195" s="22">
        <f>Sheet1!W195</f>
        <v>0</v>
      </c>
      <c r="G195" s="23" t="str">
        <f t="shared" si="3"/>
        <v>Get Directions</v>
      </c>
    </row>
    <row r="196" spans="4:7" x14ac:dyDescent="0.45">
      <c r="D196" s="22">
        <f>Sheet1!W196</f>
        <v>0</v>
      </c>
      <c r="G196" s="23" t="str">
        <f t="shared" si="3"/>
        <v>Get Directions</v>
      </c>
    </row>
    <row r="197" spans="4:7" x14ac:dyDescent="0.45">
      <c r="D197" s="22">
        <f>Sheet1!W197</f>
        <v>0</v>
      </c>
      <c r="G197" s="23" t="str">
        <f t="shared" si="3"/>
        <v>Get Directions</v>
      </c>
    </row>
    <row r="198" spans="4:7" x14ac:dyDescent="0.45">
      <c r="D198" s="22">
        <f>Sheet1!W198</f>
        <v>0</v>
      </c>
      <c r="G198" s="23" t="str">
        <f t="shared" si="3"/>
        <v>Get Directions</v>
      </c>
    </row>
    <row r="199" spans="4:7" x14ac:dyDescent="0.45">
      <c r="D199" s="22">
        <f>Sheet1!W199</f>
        <v>0</v>
      </c>
      <c r="G199" s="23" t="str">
        <f t="shared" si="3"/>
        <v>Get Directions</v>
      </c>
    </row>
    <row r="200" spans="4:7" x14ac:dyDescent="0.45">
      <c r="D200" s="22">
        <f>Sheet1!W200</f>
        <v>0</v>
      </c>
      <c r="G200" s="23" t="str">
        <f t="shared" si="3"/>
        <v>Get Directions</v>
      </c>
    </row>
    <row r="201" spans="4:7" x14ac:dyDescent="0.45">
      <c r="D201" s="22">
        <f>Sheet1!W201</f>
        <v>0</v>
      </c>
      <c r="G201" s="23" t="str">
        <f t="shared" si="3"/>
        <v>Get Directions</v>
      </c>
    </row>
    <row r="202" spans="4:7" x14ac:dyDescent="0.45">
      <c r="D202" s="22">
        <f>Sheet1!W202</f>
        <v>0</v>
      </c>
      <c r="G202" s="23" t="str">
        <f t="shared" si="3"/>
        <v>Get Directions</v>
      </c>
    </row>
    <row r="203" spans="4:7" x14ac:dyDescent="0.45">
      <c r="D203" s="22">
        <f>Sheet1!W203</f>
        <v>0</v>
      </c>
      <c r="G203" s="23" t="str">
        <f t="shared" si="3"/>
        <v>Get Directions</v>
      </c>
    </row>
    <row r="204" spans="4:7" x14ac:dyDescent="0.45">
      <c r="D204" s="22">
        <f>Sheet1!W204</f>
        <v>0</v>
      </c>
      <c r="G204" s="23" t="str">
        <f t="shared" si="3"/>
        <v>Get Directions</v>
      </c>
    </row>
    <row r="205" spans="4:7" x14ac:dyDescent="0.45">
      <c r="D205" s="22">
        <f>Sheet1!W205</f>
        <v>0</v>
      </c>
      <c r="G205" s="23" t="str">
        <f t="shared" si="3"/>
        <v>Get Directions</v>
      </c>
    </row>
    <row r="206" spans="4:7" x14ac:dyDescent="0.45">
      <c r="D206" s="22">
        <f>Sheet1!W206</f>
        <v>0</v>
      </c>
      <c r="G206" s="23" t="str">
        <f t="shared" si="3"/>
        <v>Get Directions</v>
      </c>
    </row>
    <row r="207" spans="4:7" x14ac:dyDescent="0.45">
      <c r="D207" s="22">
        <f>Sheet1!W207</f>
        <v>0</v>
      </c>
      <c r="G207" s="23" t="str">
        <f t="shared" si="3"/>
        <v>Get Directions</v>
      </c>
    </row>
    <row r="208" spans="4:7" x14ac:dyDescent="0.45">
      <c r="D208" s="22">
        <f>Sheet1!W208</f>
        <v>0</v>
      </c>
      <c r="G208" s="23" t="str">
        <f t="shared" si="3"/>
        <v>Get Directions</v>
      </c>
    </row>
    <row r="209" spans="4:7" x14ac:dyDescent="0.45">
      <c r="D209" s="22">
        <f>Sheet1!W209</f>
        <v>0</v>
      </c>
      <c r="G209" s="23" t="str">
        <f t="shared" si="3"/>
        <v>Get Directions</v>
      </c>
    </row>
    <row r="210" spans="4:7" x14ac:dyDescent="0.45">
      <c r="D210" s="22">
        <f>Sheet1!W210</f>
        <v>0</v>
      </c>
      <c r="G210" s="23" t="str">
        <f t="shared" si="3"/>
        <v>Get Directions</v>
      </c>
    </row>
    <row r="211" spans="4:7" x14ac:dyDescent="0.45">
      <c r="D211" s="22">
        <f>Sheet1!W211</f>
        <v>0</v>
      </c>
      <c r="G211" s="23" t="str">
        <f t="shared" si="3"/>
        <v>Get Directions</v>
      </c>
    </row>
    <row r="212" spans="4:7" x14ac:dyDescent="0.45">
      <c r="D212" s="22">
        <f>Sheet1!W212</f>
        <v>0</v>
      </c>
      <c r="G212" s="23" t="str">
        <f t="shared" si="3"/>
        <v>Get Directions</v>
      </c>
    </row>
    <row r="213" spans="4:7" x14ac:dyDescent="0.45">
      <c r="D213" s="22">
        <f>Sheet1!W213</f>
        <v>0</v>
      </c>
      <c r="G213" s="23" t="str">
        <f t="shared" si="3"/>
        <v>Get Directions</v>
      </c>
    </row>
    <row r="214" spans="4:7" x14ac:dyDescent="0.45">
      <c r="D214" s="22">
        <f>Sheet1!W214</f>
        <v>0</v>
      </c>
      <c r="G214" s="23" t="str">
        <f t="shared" si="3"/>
        <v>Get Directions</v>
      </c>
    </row>
    <row r="215" spans="4:7" x14ac:dyDescent="0.45">
      <c r="D215" s="22">
        <f>Sheet1!W215</f>
        <v>0</v>
      </c>
      <c r="G215" s="23" t="str">
        <f t="shared" si="3"/>
        <v>Get Directions</v>
      </c>
    </row>
    <row r="216" spans="4:7" x14ac:dyDescent="0.45">
      <c r="D216" s="22">
        <f>Sheet1!W216</f>
        <v>0</v>
      </c>
      <c r="G216" s="23" t="str">
        <f t="shared" si="3"/>
        <v>Get Directions</v>
      </c>
    </row>
    <row r="217" spans="4:7" x14ac:dyDescent="0.45">
      <c r="D217" s="22">
        <f>Sheet1!W217</f>
        <v>0</v>
      </c>
      <c r="G217" s="23" t="str">
        <f t="shared" si="3"/>
        <v>Get Directions</v>
      </c>
    </row>
    <row r="218" spans="4:7" x14ac:dyDescent="0.45">
      <c r="D218" s="22">
        <f>Sheet1!W218</f>
        <v>0</v>
      </c>
      <c r="G218" s="23" t="str">
        <f t="shared" si="3"/>
        <v>Get Directions</v>
      </c>
    </row>
    <row r="219" spans="4:7" x14ac:dyDescent="0.45">
      <c r="D219" s="22">
        <f>Sheet1!W219</f>
        <v>0</v>
      </c>
      <c r="G219" s="23" t="str">
        <f t="shared" si="3"/>
        <v>Get Directions</v>
      </c>
    </row>
    <row r="220" spans="4:7" x14ac:dyDescent="0.45">
      <c r="D220" s="22">
        <f>Sheet1!W220</f>
        <v>0</v>
      </c>
      <c r="G220" s="23" t="str">
        <f t="shared" si="3"/>
        <v>Get Directions</v>
      </c>
    </row>
    <row r="221" spans="4:7" x14ac:dyDescent="0.45">
      <c r="D221" s="22">
        <f>Sheet1!W221</f>
        <v>0</v>
      </c>
      <c r="G221" s="23" t="str">
        <f t="shared" si="3"/>
        <v>Get Directions</v>
      </c>
    </row>
    <row r="222" spans="4:7" x14ac:dyDescent="0.45">
      <c r="D222" s="22">
        <f>Sheet1!W222</f>
        <v>0</v>
      </c>
      <c r="G222" s="23" t="str">
        <f t="shared" si="3"/>
        <v>Get Directions</v>
      </c>
    </row>
    <row r="223" spans="4:7" x14ac:dyDescent="0.45">
      <c r="D223" s="22">
        <f>Sheet1!W223</f>
        <v>0</v>
      </c>
      <c r="G223" s="23" t="str">
        <f t="shared" si="3"/>
        <v>Get Directions</v>
      </c>
    </row>
    <row r="224" spans="4:7" x14ac:dyDescent="0.45">
      <c r="D224" s="22">
        <f>Sheet1!W224</f>
        <v>0</v>
      </c>
      <c r="G224" s="23" t="str">
        <f t="shared" si="3"/>
        <v>Get Directions</v>
      </c>
    </row>
    <row r="225" spans="4:7" x14ac:dyDescent="0.45">
      <c r="D225" s="22">
        <f>Sheet1!W225</f>
        <v>0</v>
      </c>
      <c r="G225" s="23" t="str">
        <f t="shared" si="3"/>
        <v>Get Directions</v>
      </c>
    </row>
    <row r="226" spans="4:7" x14ac:dyDescent="0.45">
      <c r="D226" s="22">
        <f>Sheet1!W226</f>
        <v>0</v>
      </c>
      <c r="G226" s="23" t="str">
        <f t="shared" si="3"/>
        <v>Get Directions</v>
      </c>
    </row>
    <row r="227" spans="4:7" x14ac:dyDescent="0.45">
      <c r="D227" s="22">
        <f>Sheet1!W227</f>
        <v>0</v>
      </c>
      <c r="G227" s="23" t="str">
        <f t="shared" si="3"/>
        <v>Get Directions</v>
      </c>
    </row>
    <row r="228" spans="4:7" x14ac:dyDescent="0.45">
      <c r="D228" s="22">
        <f>Sheet1!W228</f>
        <v>0</v>
      </c>
      <c r="G228" s="23" t="str">
        <f t="shared" si="3"/>
        <v>Get Directions</v>
      </c>
    </row>
    <row r="229" spans="4:7" x14ac:dyDescent="0.45">
      <c r="D229" s="22">
        <f>Sheet1!W229</f>
        <v>0</v>
      </c>
      <c r="G229" s="23" t="str">
        <f t="shared" si="3"/>
        <v>Get Directions</v>
      </c>
    </row>
    <row r="230" spans="4:7" x14ac:dyDescent="0.45">
      <c r="D230" s="22">
        <f>Sheet1!W230</f>
        <v>0</v>
      </c>
      <c r="G230" s="23" t="str">
        <f t="shared" si="3"/>
        <v>Get Directions</v>
      </c>
    </row>
    <row r="231" spans="4:7" x14ac:dyDescent="0.45">
      <c r="D231" s="22">
        <f>Sheet1!W231</f>
        <v>0</v>
      </c>
      <c r="G231" s="23" t="str">
        <f t="shared" si="3"/>
        <v>Get Directions</v>
      </c>
    </row>
    <row r="232" spans="4:7" x14ac:dyDescent="0.45">
      <c r="D232" s="22">
        <f>Sheet1!W232</f>
        <v>0</v>
      </c>
      <c r="G232" s="23" t="str">
        <f t="shared" si="3"/>
        <v>Get Directions</v>
      </c>
    </row>
    <row r="233" spans="4:7" x14ac:dyDescent="0.45">
      <c r="D233" s="22">
        <f>Sheet1!W233</f>
        <v>0</v>
      </c>
      <c r="G233" s="23" t="str">
        <f t="shared" si="3"/>
        <v>Get Directions</v>
      </c>
    </row>
    <row r="234" spans="4:7" x14ac:dyDescent="0.45">
      <c r="D234" s="22">
        <f>Sheet1!W234</f>
        <v>0</v>
      </c>
      <c r="G234" s="23" t="str">
        <f t="shared" si="3"/>
        <v>Get Directions</v>
      </c>
    </row>
    <row r="235" spans="4:7" x14ac:dyDescent="0.45">
      <c r="D235" s="22">
        <f>Sheet1!W235</f>
        <v>0</v>
      </c>
      <c r="G235" s="23" t="str">
        <f t="shared" si="3"/>
        <v>Get Directions</v>
      </c>
    </row>
    <row r="236" spans="4:7" x14ac:dyDescent="0.45">
      <c r="D236" s="22">
        <f>Sheet1!W236</f>
        <v>0</v>
      </c>
      <c r="G236" s="23" t="str">
        <f t="shared" si="3"/>
        <v>Get Directions</v>
      </c>
    </row>
    <row r="237" spans="4:7" x14ac:dyDescent="0.45">
      <c r="D237" s="22">
        <f>Sheet1!W237</f>
        <v>0</v>
      </c>
      <c r="G237" s="23" t="str">
        <f t="shared" si="3"/>
        <v>Get Directions</v>
      </c>
    </row>
    <row r="238" spans="4:7" x14ac:dyDescent="0.45">
      <c r="D238" s="22">
        <f>Sheet1!W238</f>
        <v>0</v>
      </c>
      <c r="G238" s="23" t="str">
        <f t="shared" si="3"/>
        <v>Get Directions</v>
      </c>
    </row>
    <row r="239" spans="4:7" x14ac:dyDescent="0.45">
      <c r="D239" s="22">
        <f>Sheet1!W239</f>
        <v>0</v>
      </c>
      <c r="G239" s="23" t="str">
        <f t="shared" si="3"/>
        <v>Get Directions</v>
      </c>
    </row>
    <row r="240" spans="4:7" x14ac:dyDescent="0.45">
      <c r="D240" s="22">
        <f>Sheet1!W240</f>
        <v>0</v>
      </c>
      <c r="G240" s="23" t="str">
        <f t="shared" si="3"/>
        <v>Get Directions</v>
      </c>
    </row>
    <row r="241" spans="4:7" x14ac:dyDescent="0.45">
      <c r="D241" s="22">
        <f>Sheet1!W241</f>
        <v>0</v>
      </c>
      <c r="G241" s="23" t="str">
        <f t="shared" si="3"/>
        <v>Get Directions</v>
      </c>
    </row>
    <row r="242" spans="4:7" x14ac:dyDescent="0.45">
      <c r="D242" s="22">
        <f>Sheet1!W242</f>
        <v>0</v>
      </c>
      <c r="G242" s="23" t="str">
        <f t="shared" si="3"/>
        <v>Get Directions</v>
      </c>
    </row>
    <row r="243" spans="4:7" x14ac:dyDescent="0.45">
      <c r="D243" s="22">
        <f>Sheet1!W243</f>
        <v>0</v>
      </c>
      <c r="G243" s="23" t="str">
        <f t="shared" si="3"/>
        <v>Get Directions</v>
      </c>
    </row>
    <row r="244" spans="4:7" x14ac:dyDescent="0.45">
      <c r="G244" s="23" t="str">
        <f t="shared" si="3"/>
        <v>Get Directions</v>
      </c>
    </row>
    <row r="245" spans="4:7" x14ac:dyDescent="0.45">
      <c r="G245" s="23" t="str">
        <f t="shared" si="3"/>
        <v>Get Directions</v>
      </c>
    </row>
    <row r="246" spans="4:7" x14ac:dyDescent="0.45">
      <c r="G246" s="23" t="str">
        <f t="shared" si="3"/>
        <v>Get Directions</v>
      </c>
    </row>
    <row r="247" spans="4:7" x14ac:dyDescent="0.45">
      <c r="G247" s="23" t="str">
        <f t="shared" si="3"/>
        <v>Get Directions</v>
      </c>
    </row>
    <row r="248" spans="4:7" x14ac:dyDescent="0.45">
      <c r="G248" s="23" t="str">
        <f t="shared" si="3"/>
        <v>Get Directions</v>
      </c>
    </row>
    <row r="249" spans="4:7" x14ac:dyDescent="0.45">
      <c r="G249" s="23" t="str">
        <f t="shared" si="3"/>
        <v>Get Directions</v>
      </c>
    </row>
    <row r="250" spans="4:7" x14ac:dyDescent="0.45">
      <c r="G250" s="23" t="str">
        <f t="shared" si="3"/>
        <v>Get Directions</v>
      </c>
    </row>
    <row r="251" spans="4:7" x14ac:dyDescent="0.45">
      <c r="G251" s="23" t="str">
        <f t="shared" si="3"/>
        <v>Get Directions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C678-973A-4E91-9AF1-FAD61CECD978}">
  <dimension ref="K7"/>
  <sheetViews>
    <sheetView workbookViewId="0">
      <selection activeCell="K7" sqref="K7"/>
    </sheetView>
  </sheetViews>
  <sheetFormatPr defaultRowHeight="14.25" x14ac:dyDescent="0.45"/>
  <sheetData>
    <row r="7" spans="11:11" x14ac:dyDescent="0.45">
      <c r="K7" t="s">
        <v>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38</vt:i4>
      </vt:variant>
    </vt:vector>
  </HeadingPairs>
  <TitlesOfParts>
    <vt:vector size="41" baseType="lpstr">
      <vt:lpstr>Sheet1</vt:lpstr>
      <vt:lpstr>Sheet2</vt:lpstr>
      <vt:lpstr>Sheet3</vt:lpstr>
      <vt:lpstr>Sheet1!Check1</vt:lpstr>
      <vt:lpstr>Sheet1!Check2</vt:lpstr>
      <vt:lpstr>Sheet1!Check4</vt:lpstr>
      <vt:lpstr>Sheet1!Check6</vt:lpstr>
      <vt:lpstr>Sheet1!Text10</vt:lpstr>
      <vt:lpstr>Sheet1!Text11</vt:lpstr>
      <vt:lpstr>Sheet1!Text12</vt:lpstr>
      <vt:lpstr>Sheet1!Text13</vt:lpstr>
      <vt:lpstr>Sheet1!Text14</vt:lpstr>
      <vt:lpstr>Sheet1!Text21</vt:lpstr>
      <vt:lpstr>Sheet1!Text24</vt:lpstr>
      <vt:lpstr>Sheet1!Text25</vt:lpstr>
      <vt:lpstr>Sheet1!Text26</vt:lpstr>
      <vt:lpstr>Sheet1!Text27</vt:lpstr>
      <vt:lpstr>Sheet1!Text28</vt:lpstr>
      <vt:lpstr>Sheet1!Text29</vt:lpstr>
      <vt:lpstr>Sheet1!Text30</vt:lpstr>
      <vt:lpstr>Sheet1!Text33</vt:lpstr>
      <vt:lpstr>Sheet1!Text34</vt:lpstr>
      <vt:lpstr>Sheet1!Text35</vt:lpstr>
      <vt:lpstr>Sheet1!Text36</vt:lpstr>
      <vt:lpstr>Sheet1!Text37</vt:lpstr>
      <vt:lpstr>Sheet1!Text38</vt:lpstr>
      <vt:lpstr>Sheet1!Text39</vt:lpstr>
      <vt:lpstr>Sheet1!Text40</vt:lpstr>
      <vt:lpstr>Sheet1!Text41</vt:lpstr>
      <vt:lpstr>Sheet1!Text42</vt:lpstr>
      <vt:lpstr>Sheet1!Text43</vt:lpstr>
      <vt:lpstr>Sheet1!Text45</vt:lpstr>
      <vt:lpstr>Sheet1!Text50</vt:lpstr>
      <vt:lpstr>Sheet1!Text54</vt:lpstr>
      <vt:lpstr>Sheet1!Text55</vt:lpstr>
      <vt:lpstr>Sheet1!Text56</vt:lpstr>
      <vt:lpstr>Sheet1!Text57</vt:lpstr>
      <vt:lpstr>Sheet1!Text58</vt:lpstr>
      <vt:lpstr>Sheet1!Text59</vt:lpstr>
      <vt:lpstr>Sheet1!Text8</vt:lpstr>
      <vt:lpstr>Sheet1!Text9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Ehresman</dc:creator>
  <cp:lastModifiedBy>May Ehresman</cp:lastModifiedBy>
  <cp:lastPrinted>2025-08-09T15:40:12Z</cp:lastPrinted>
  <dcterms:created xsi:type="dcterms:W3CDTF">2025-08-09T15:01:19Z</dcterms:created>
  <dcterms:modified xsi:type="dcterms:W3CDTF">2025-10-02T21:33:52Z</dcterms:modified>
</cp:coreProperties>
</file>